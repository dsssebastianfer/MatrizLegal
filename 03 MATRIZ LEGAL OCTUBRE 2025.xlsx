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threadedComments/threadedComment2.xml" ContentType="application/vnd.ms-excel.threaded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dss_264\Desktop\Apps\Matriz Legal\"/>
    </mc:Choice>
  </mc:AlternateContent>
  <xr:revisionPtr revIDLastSave="0" documentId="13_ncr:1_{8039AB6B-97D4-4519-962F-945BCEE6547B}" xr6:coauthVersionLast="47" xr6:coauthVersionMax="47" xr10:uidLastSave="{00000000-0000-0000-0000-000000000000}"/>
  <bookViews>
    <workbookView xWindow="-28920" yWindow="-120" windowWidth="29040" windowHeight="15720" tabRatio="964" activeTab="5" xr2:uid="{00000000-000D-0000-FFFF-FFFF00000000}"/>
  </bookViews>
  <sheets>
    <sheet name="Control de Cambios" sheetId="72" r:id="rId1"/>
    <sheet name="RESUMEN" sheetId="43" r:id="rId2"/>
    <sheet name="Decreto 44" sheetId="110" r:id="rId3"/>
    <sheet name="Decreto 160" sheetId="109" r:id="rId4"/>
    <sheet name="Ley 21643" sheetId="108" r:id="rId5"/>
    <sheet name="Ley 21645" sheetId="107" r:id="rId6"/>
    <sheet name="Ley 21561" sheetId="106" r:id="rId7"/>
    <sheet name="RES EX 144" sheetId="99" r:id="rId8"/>
    <sheet name="ORD 1389 007 DT" sheetId="98" r:id="rId9"/>
    <sheet name="Ley 21217" sheetId="97" r:id="rId10"/>
    <sheet name="Ley 21220" sheetId="96" r:id="rId11"/>
    <sheet name="Ley 21122" sheetId="93" r:id="rId12"/>
    <sheet name="Ley 21018" sheetId="92" r:id="rId13"/>
    <sheet name="NCh2245" sheetId="91" r:id="rId14"/>
    <sheet name="DS 100" sheetId="10" r:id="rId15"/>
    <sheet name="Ley 16,744" sheetId="13" r:id="rId16"/>
    <sheet name="DS148" sheetId="18" r:id="rId17"/>
    <sheet name="DS 594" sheetId="16" r:id="rId18"/>
    <sheet name="DFL N°1 Ley Transito" sheetId="102" r:id="rId19"/>
    <sheet name="REx N° 1930" sheetId="103" r:id="rId20"/>
    <sheet name="D 44" sheetId="104" r:id="rId21"/>
    <sheet name="DS67" sheetId="21" r:id="rId22"/>
    <sheet name="DS 63" sheetId="63" r:id="rId23"/>
    <sheet name="Ley 20949" sheetId="24" r:id="rId24"/>
    <sheet name="NCH1411" sheetId="25" r:id="rId25"/>
    <sheet name="LEY 20005" sheetId="26" r:id="rId26"/>
    <sheet name="LEY 20096" sheetId="28" r:id="rId27"/>
    <sheet name="DS18" sheetId="32" r:id="rId28"/>
    <sheet name="DS254" sheetId="33" r:id="rId29"/>
    <sheet name="DS109" sheetId="35" r:id="rId30"/>
    <sheet name="LEY20105" sheetId="36" r:id="rId31"/>
    <sheet name="LEY20047" sheetId="37" r:id="rId32"/>
    <sheet name="DS43" sheetId="45" r:id="rId33"/>
    <sheet name="DS 458" sheetId="47" r:id="rId34"/>
    <sheet name="DS 47" sheetId="48" r:id="rId35"/>
    <sheet name="DFL1" sheetId="46" r:id="rId36"/>
    <sheet name="DFL 725 Codigo Sanitario" sheetId="50" r:id="rId37"/>
    <sheet name="Ley 18490" sheetId="49" r:id="rId38"/>
    <sheet name="DS 601" sheetId="51" r:id="rId39"/>
    <sheet name="Decreto 238" sheetId="55" r:id="rId40"/>
    <sheet name="Decreto 55" sheetId="56" r:id="rId41"/>
    <sheet name="Ley 20160" sheetId="57" r:id="rId42"/>
    <sheet name="Decreto 719" sheetId="58" r:id="rId43"/>
    <sheet name="Ley 20435" sheetId="67" r:id="rId44"/>
    <sheet name="RES EX 218" sheetId="78" r:id="rId45"/>
    <sheet name="RES EX 1448" sheetId="52" r:id="rId46"/>
    <sheet name="TMERT" sheetId="53" r:id="rId47"/>
    <sheet name="DS 1 RECT" sheetId="62" r:id="rId48"/>
    <sheet name="ORD MUN 46" sheetId="64" r:id="rId49"/>
    <sheet name="ORD MUN 56" sheetId="65" r:id="rId50"/>
    <sheet name="Plan Regulador" sheetId="66" r:id="rId51"/>
    <sheet name="DS 206" sheetId="68" r:id="rId52"/>
    <sheet name="Ley 20123" sheetId="77" r:id="rId53"/>
    <sheet name="DS 76" sheetId="69" r:id="rId54"/>
    <sheet name="RES EX 3457" sheetId="70" r:id="rId55"/>
    <sheet name="DS 144" sheetId="71" r:id="rId56"/>
    <sheet name="DS 103" sheetId="73" r:id="rId57"/>
    <sheet name="DS 149" sheetId="74" r:id="rId58"/>
    <sheet name="DS 54 MTT" sheetId="79" r:id="rId59"/>
    <sheet name="NCh 2056" sheetId="76" r:id="rId60"/>
    <sheet name="RES 499" sheetId="80" r:id="rId61"/>
    <sheet name="Ley 20584" sheetId="81" r:id="rId62"/>
    <sheet name="Ley 20393" sheetId="82" r:id="rId63"/>
    <sheet name="Ley 21012" sheetId="83" r:id="rId64"/>
    <sheet name="Ley 20830" sheetId="84" r:id="rId65"/>
    <sheet name="Ley 20348" sheetId="86" r:id="rId66"/>
    <sheet name="Ley 21015" sheetId="85" r:id="rId67"/>
    <sheet name="Ley 20422" sheetId="87" r:id="rId68"/>
    <sheet name="Ley 19284" sheetId="88" r:id="rId69"/>
    <sheet name="Ley 20764" sheetId="89" r:id="rId70"/>
    <sheet name="Ley 21042" sheetId="90" r:id="rId71"/>
    <sheet name="NT 142" sheetId="94" r:id="rId72"/>
    <sheet name="DS 18 2020" sheetId="101" r:id="rId73"/>
    <sheet name="RES EX 1854" sheetId="105" r:id="rId74"/>
  </sheets>
  <definedNames>
    <definedName name="_xlnm._FilterDatabase" localSheetId="16" hidden="1">'DS148'!$A$3:$H$23</definedName>
    <definedName name="_xlnm._FilterDatabase" localSheetId="1" hidden="1">RESUMEN!$A$2:$K$74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09" l="1"/>
  <c r="B2" i="108"/>
  <c r="B2" i="107"/>
  <c r="B2" i="106"/>
  <c r="B2" i="82"/>
  <c r="E37" i="43"/>
  <c r="E28" i="43"/>
  <c r="E23" i="43"/>
  <c r="B2" i="105"/>
  <c r="B2" i="101"/>
  <c r="B2" i="28"/>
  <c r="B2" i="104"/>
  <c r="B2" i="103"/>
  <c r="B2" i="102"/>
  <c r="B2" i="98"/>
  <c r="B2" i="99"/>
  <c r="H67" i="43" s="1"/>
  <c r="B2" i="10"/>
  <c r="B2" i="13"/>
  <c r="B2" i="67"/>
  <c r="E57" i="43"/>
  <c r="E34" i="43"/>
  <c r="E22" i="43"/>
  <c r="E16" i="43"/>
  <c r="E67" i="43"/>
  <c r="H66" i="43" l="1"/>
  <c r="E66" i="43"/>
  <c r="H64" i="43"/>
  <c r="E65" i="43"/>
  <c r="E64" i="43"/>
  <c r="B2" i="97"/>
  <c r="B2" i="96"/>
  <c r="H65" i="43" s="1"/>
  <c r="E63" i="43" l="1"/>
  <c r="B2" i="94" l="1"/>
  <c r="H63" i="43" s="1"/>
  <c r="E62" i="43" l="1"/>
  <c r="E61" i="43"/>
  <c r="B2" i="93"/>
  <c r="H62" i="43" s="1"/>
  <c r="B2" i="92"/>
  <c r="H61" i="43" s="1"/>
  <c r="B2" i="91" l="1"/>
  <c r="H60" i="43" s="1"/>
  <c r="E59" i="43" l="1"/>
  <c r="E58" i="43"/>
  <c r="E56" i="43"/>
  <c r="E55" i="43"/>
  <c r="E54" i="43"/>
  <c r="E53" i="43"/>
  <c r="E52" i="43"/>
  <c r="E51" i="43"/>
  <c r="E50" i="43"/>
  <c r="B2" i="90"/>
  <c r="H59" i="43" s="1"/>
  <c r="B2" i="89"/>
  <c r="H58" i="43" s="1"/>
  <c r="B2" i="88"/>
  <c r="H57" i="43" s="1"/>
  <c r="B2" i="87"/>
  <c r="H56" i="43" s="1"/>
  <c r="B2" i="86"/>
  <c r="H54" i="43" s="1"/>
  <c r="B2" i="85"/>
  <c r="H55" i="43" s="1"/>
  <c r="B2" i="84"/>
  <c r="H53" i="43" s="1"/>
  <c r="B2" i="83"/>
  <c r="H52" i="43" s="1"/>
  <c r="B2" i="81"/>
  <c r="H50" i="43" s="1"/>
  <c r="B2" i="63"/>
  <c r="H12" i="43" s="1"/>
  <c r="B2" i="16"/>
  <c r="H6" i="43" s="1"/>
  <c r="B2" i="80"/>
  <c r="B2" i="76"/>
  <c r="H48" i="43" s="1"/>
  <c r="B2" i="79"/>
  <c r="H47" i="43" s="1"/>
  <c r="B2" i="74"/>
  <c r="H46" i="43" s="1"/>
  <c r="B2" i="73"/>
  <c r="B2" i="71"/>
  <c r="H44" i="43" s="1"/>
  <c r="B2" i="70"/>
  <c r="H43" i="43" s="1"/>
  <c r="B2" i="69"/>
  <c r="H42" i="43" s="1"/>
  <c r="B2" i="77"/>
  <c r="H41" i="43" s="1"/>
  <c r="B2" i="68"/>
  <c r="H40" i="43" s="1"/>
  <c r="B2" i="66"/>
  <c r="H39" i="43" s="1"/>
  <c r="B2" i="65"/>
  <c r="H38" i="43" s="1"/>
  <c r="B2" i="64"/>
  <c r="H37" i="43" s="1"/>
  <c r="B2" i="62"/>
  <c r="H36" i="43" s="1"/>
  <c r="B2" i="53"/>
  <c r="H35" i="43" s="1"/>
  <c r="B2" i="52"/>
  <c r="H34" i="43" s="1"/>
  <c r="B2" i="78"/>
  <c r="H33" i="43" s="1"/>
  <c r="B2" i="58"/>
  <c r="H31" i="43" s="1"/>
  <c r="B2" i="57"/>
  <c r="H30" i="43" s="1"/>
  <c r="B2" i="56"/>
  <c r="H29" i="43" s="1"/>
  <c r="B2" i="55"/>
  <c r="H28" i="43" s="1"/>
  <c r="B2" i="51"/>
  <c r="H27" i="43" s="1"/>
  <c r="B2" i="49"/>
  <c r="H26" i="43" s="1"/>
  <c r="B2" i="50"/>
  <c r="B2" i="46"/>
  <c r="H24" i="43" s="1"/>
  <c r="B2" i="48"/>
  <c r="H23" i="43" s="1"/>
  <c r="B2" i="47"/>
  <c r="H22" i="43" s="1"/>
  <c r="B2" i="45"/>
  <c r="H21" i="43" s="1"/>
  <c r="B2" i="37"/>
  <c r="H20" i="43" s="1"/>
  <c r="B2" i="36"/>
  <c r="H19" i="43" s="1"/>
  <c r="B2" i="35"/>
  <c r="H18" i="43"/>
  <c r="B2" i="33"/>
  <c r="H17" i="43" s="1"/>
  <c r="B2" i="32"/>
  <c r="H16" i="43"/>
  <c r="B2" i="26"/>
  <c r="H14" i="43" s="1"/>
  <c r="B2" i="25"/>
  <c r="H13" i="43"/>
  <c r="B2" i="24"/>
  <c r="H11" i="43" s="1"/>
  <c r="B3" i="21"/>
  <c r="H10" i="43" s="1"/>
  <c r="B2" i="18"/>
  <c r="H5" i="43" s="1"/>
  <c r="H4" i="43"/>
  <c r="H3" i="43"/>
  <c r="E3" i="43"/>
  <c r="E4" i="43"/>
  <c r="E5" i="43"/>
  <c r="E6" i="43"/>
  <c r="E10" i="43"/>
  <c r="E11" i="43"/>
  <c r="E12" i="43"/>
  <c r="E13" i="43"/>
  <c r="E14" i="43"/>
  <c r="E15" i="43"/>
  <c r="E17" i="43"/>
  <c r="E18" i="43"/>
  <c r="E19" i="43"/>
  <c r="E20" i="43"/>
  <c r="E21" i="43"/>
  <c r="E24" i="43"/>
  <c r="E25" i="43"/>
  <c r="E26" i="43"/>
  <c r="E29" i="43"/>
  <c r="E30" i="43"/>
  <c r="E31" i="43"/>
  <c r="E33" i="43"/>
  <c r="E35" i="43"/>
  <c r="E36" i="43"/>
  <c r="E38" i="43"/>
  <c r="E39" i="43"/>
  <c r="E40" i="43"/>
  <c r="E43" i="43"/>
  <c r="E44" i="43"/>
  <c r="E45" i="43"/>
  <c r="H45" i="43"/>
  <c r="E46" i="43"/>
  <c r="E47" i="43"/>
  <c r="E48" i="43"/>
  <c r="E49" i="43"/>
  <c r="H49" i="43" l="1"/>
  <c r="H25" i="4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dss_304</author>
    <author>tc={6613A2EF-0A23-4320-BA63-766C7676ED9C}</author>
    <author>Nelson González Ortega</author>
    <author>tc={86ACAF1B-E18E-42CC-8E4D-4E05AD2AC0C3}</author>
  </authors>
  <commentList>
    <comment ref="N2" authorId="0" shapeId="0" xr:uid="{B28A0750-3FDF-49C0-8C32-587B71EEB464}">
      <text>
        <r>
          <rPr>
            <b/>
            <sz val="9"/>
            <color indexed="81"/>
            <rFont val="Tahoma"/>
            <family val="2"/>
          </rPr>
          <t>dss_304:</t>
        </r>
        <r>
          <rPr>
            <sz val="9"/>
            <color indexed="81"/>
            <rFont val="Tahoma"/>
            <family val="2"/>
          </rPr>
          <t xml:space="preserve">
Nelson González Ortega:
Procesos internos que tienen relación con cualquier actividad que desarrolla DSS (CALIDAD)</t>
        </r>
      </text>
    </comment>
    <comment ref="A7" authorId="1" shapeId="0" xr:uid="{6613A2EF-0A23-4320-BA63-766C7676ED9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incorpora</t>
      </text>
    </comment>
    <comment ref="B34" authorId="2" shapeId="0" xr:uid="{716EE850-9998-45F9-81C7-D82F3D85E318}">
      <text>
        <r>
          <rPr>
            <b/>
            <sz val="10"/>
            <color indexed="81"/>
            <rFont val="Tahoma"/>
            <family val="2"/>
          </rPr>
          <t>Nelson González Ortega:</t>
        </r>
        <r>
          <rPr>
            <sz val="10"/>
            <color indexed="81"/>
            <rFont val="Tahoma"/>
            <family val="2"/>
          </rPr>
          <t xml:space="preserve">
NORMA DEROGADA EL 25/10/2022, POR RESOLUCIÓN EXENTA N° 1448, DEL MINISTERIO DE SALUD; SUBSECRETARÍA DE SALUD PÚBLICA, PUBLICADA EL 25-10-2022.</t>
        </r>
      </text>
    </comment>
    <comment ref="B35" authorId="2" shapeId="0" xr:uid="{E3A22489-679D-45DE-8FA8-9F9F4094CFD5}">
      <text>
        <r>
          <rPr>
            <b/>
            <sz val="10"/>
            <color indexed="81"/>
            <rFont val="Tahoma"/>
            <family val="2"/>
          </rPr>
          <t>Nelson González Ortega:</t>
        </r>
        <r>
          <rPr>
            <sz val="10"/>
            <color indexed="81"/>
            <rFont val="Tahoma"/>
            <family val="2"/>
          </rPr>
          <t xml:space="preserve">
Aprobado mediante Decreto Exento N° 804, publicado el 08-10-2012, por el Ministerio de Salud; Subsecretaría de Salud Pública, </t>
        </r>
      </text>
    </comment>
    <comment ref="L35" authorId="2" shapeId="0" xr:uid="{FE10538B-558B-490A-8A56-F3BF23F613F9}">
      <text>
        <r>
          <rPr>
            <b/>
            <sz val="10"/>
            <color indexed="81"/>
            <rFont val="Tahoma"/>
            <family val="2"/>
          </rPr>
          <t>Nelson González Ortega:</t>
        </r>
        <r>
          <rPr>
            <sz val="10"/>
            <color indexed="81"/>
            <rFont val="Tahoma"/>
            <family val="2"/>
          </rPr>
          <t xml:space="preserve">
Decreto N° 804 exento</t>
        </r>
      </text>
    </comment>
    <comment ref="A38" authorId="2" shapeId="0" xr:uid="{CA147308-65A2-459E-86B9-36C7BB310148}">
      <text>
        <r>
          <rPr>
            <b/>
            <sz val="10"/>
            <color indexed="81"/>
            <rFont val="Tahoma"/>
            <family val="2"/>
          </rPr>
          <t>Nelson González Ortega:</t>
        </r>
        <r>
          <rPr>
            <sz val="10"/>
            <color indexed="81"/>
            <rFont val="Tahoma"/>
            <family val="2"/>
          </rPr>
          <t xml:space="preserve">
Norma no vigente. Actualmente vigente Ordenanza N° 56, que determina tarifa de aseo Domiciliario, sus exenciones y cobro adicional por sobre consumo, de fecha 14/01/2014, publicada el 22/012014; última actualización el 22/10/2014</t>
        </r>
      </text>
    </comment>
    <comment ref="A40" authorId="3" shapeId="0" xr:uid="{86ACAF1B-E18E-42CC-8E4D-4E05AD2AC0C3}">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inclusión de Reglamento
Respuesta:
    se incluyó</t>
      </text>
    </comment>
    <comment ref="L51" authorId="2" shapeId="0" xr:uid="{6B331024-05F6-451D-8007-951D35F4F86C}">
      <text>
        <r>
          <rPr>
            <b/>
            <sz val="10"/>
            <color indexed="81"/>
            <rFont val="Tahoma"/>
            <family val="2"/>
          </rPr>
          <t>Nelson González Ortega:</t>
        </r>
        <r>
          <rPr>
            <sz val="10"/>
            <color indexed="81"/>
            <rFont val="Tahoma"/>
            <family val="2"/>
          </rPr>
          <t xml:space="preserve">
Ley N° 21.488, modifica el Código Procesal Penal, para tipificar el delito de sustracción de madera y otros relacionados, y habilitar el uso de técnicas especiales de investigación para su persecución</t>
        </r>
      </text>
    </comment>
    <comment ref="L53" authorId="2" shapeId="0" xr:uid="{FE873404-E663-4798-9BC0-39A96D603579}">
      <text>
        <r>
          <rPr>
            <b/>
            <sz val="10"/>
            <color indexed="81"/>
            <rFont val="Tahoma"/>
            <family val="2"/>
          </rPr>
          <t>Nelson González Ortega:</t>
        </r>
        <r>
          <rPr>
            <sz val="10"/>
            <color indexed="81"/>
            <rFont val="Tahoma"/>
            <family val="2"/>
          </rPr>
          <t xml:space="preserve">
Ley 21.400, modifica diversos cuerpos para regular, en igualdad de condiciones, el matrimonio entre personas del mismo sexo</t>
        </r>
      </text>
    </comment>
    <comment ref="L57" authorId="2" shapeId="0" xr:uid="{B9F5903E-2D21-4894-880B-9B3A860488FE}">
      <text>
        <r>
          <rPr>
            <b/>
            <sz val="10"/>
            <color indexed="81"/>
            <rFont val="Tahoma"/>
            <family val="2"/>
          </rPr>
          <t>Nelson González Ortega:</t>
        </r>
        <r>
          <rPr>
            <sz val="10"/>
            <color indexed="81"/>
            <rFont val="Tahoma"/>
            <family val="2"/>
          </rPr>
          <t xml:space="preserve">
Ley 20.422; establece normas sobre igualdad de oportunidades e inclusión social de personas con discapacidad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Nelson González Ortega</author>
  </authors>
  <commentList>
    <comment ref="B5" authorId="0" shapeId="0" xr:uid="{DE6F4B83-DC47-4248-8A4B-E68B5A96C75D}">
      <text>
        <r>
          <rPr>
            <b/>
            <sz val="10"/>
            <color indexed="81"/>
            <rFont val="Tahoma"/>
            <family val="2"/>
          </rPr>
          <t>Nelson González Ortega:</t>
        </r>
        <r>
          <rPr>
            <sz val="10"/>
            <color indexed="81"/>
            <rFont val="Tahoma"/>
            <family val="2"/>
          </rPr>
          <t xml:space="preserve">
Artículo 4.- Para los efectos de este seguro, todos los empleadores se entenderán afiliados al Instituto de Seguridad Laboral respecto de la totalidad de sus trabajadores, salvo que se adhieran a alguna mutualidad de empleadores.
    Lo dispuesto en el inciso anterior también se aplicará a los trabajadores independientes afectos al seguro de esta ley.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Nelson González Ortega</author>
  </authors>
  <commentList>
    <comment ref="B15" authorId="0" shapeId="0" xr:uid="{6C0B34BC-DD65-48CF-89C0-0836831EBC9A}">
      <text>
        <r>
          <rPr>
            <b/>
            <sz val="10"/>
            <color indexed="81"/>
            <rFont val="Tahoma"/>
            <family val="2"/>
          </rPr>
          <t>Nelson González Ortega:</t>
        </r>
        <r>
          <rPr>
            <sz val="10"/>
            <color indexed="81"/>
            <rFont val="Tahoma"/>
            <family val="2"/>
          </rPr>
          <t xml:space="preserve">
Texto corresponde al inciso primero del artículo 25</t>
        </r>
      </text>
    </comment>
    <comment ref="B23" authorId="0" shapeId="0" xr:uid="{3F12F9FE-2F70-42FE-BE8D-E261BB051176}">
      <text>
        <r>
          <rPr>
            <b/>
            <sz val="10"/>
            <color indexed="81"/>
            <rFont val="Tahoma"/>
            <family val="2"/>
          </rPr>
          <t>Nelson González Ortega:</t>
        </r>
        <r>
          <rPr>
            <sz val="10"/>
            <color indexed="81"/>
            <rFont val="Tahoma"/>
            <family val="2"/>
          </rPr>
          <t xml:space="preserve">
Eliminar texto en rojo. No corresponde al texto legal transcrito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Nelson González Ortega</author>
  </authors>
  <commentList>
    <comment ref="A4" authorId="0" shapeId="0" xr:uid="{38CD6B7B-00E8-4971-9AFA-7018DE2107C1}">
      <text>
        <r>
          <rPr>
            <b/>
            <sz val="10"/>
            <color indexed="81"/>
            <rFont val="Tahoma"/>
            <family val="2"/>
          </rPr>
          <t>Nelson González Ortega:</t>
        </r>
        <r>
          <rPr>
            <sz val="10"/>
            <color indexed="81"/>
            <rFont val="Tahoma"/>
            <family val="2"/>
          </rPr>
          <t xml:space="preserve">
Artículo agregado</t>
        </r>
      </text>
    </comment>
    <comment ref="A26" authorId="0" shapeId="0" xr:uid="{E8AD9A57-4F0A-493E-B599-06EBB34EFC0E}">
      <text>
        <r>
          <rPr>
            <b/>
            <sz val="10"/>
            <color indexed="81"/>
            <rFont val="Tahoma"/>
            <family val="2"/>
          </rPr>
          <t>Nelson González Ortega:</t>
        </r>
        <r>
          <rPr>
            <sz val="10"/>
            <color indexed="81"/>
            <rFont val="Tahoma"/>
            <family val="2"/>
          </rPr>
          <t xml:space="preserve">
Norma agregada</t>
        </r>
      </text>
    </comment>
    <comment ref="A35" authorId="0" shapeId="0" xr:uid="{558B4847-3A7A-412A-BA55-F629F6A633F1}">
      <text>
        <r>
          <rPr>
            <b/>
            <sz val="10"/>
            <color indexed="81"/>
            <rFont val="Tahoma"/>
            <family val="2"/>
          </rPr>
          <t>Nelson González Ortega:</t>
        </r>
        <r>
          <rPr>
            <sz val="10"/>
            <color indexed="81"/>
            <rFont val="Tahoma"/>
            <family val="2"/>
          </rPr>
          <t xml:space="preserve">
TODAS LAS REFERENCIAS AL ARTÍCULO 42 NO SON UNA COPIA DE DICHA NORMA, SINO QUE UN RESUMEN</t>
        </r>
      </text>
    </comment>
    <comment ref="A41" authorId="0" shapeId="0" xr:uid="{E70A67AD-3102-4A86-B24A-0E048FE4F129}">
      <text>
        <r>
          <rPr>
            <b/>
            <sz val="10"/>
            <color indexed="81"/>
            <rFont val="Tahoma"/>
            <family val="2"/>
          </rPr>
          <t>Nelson González Ortega:</t>
        </r>
        <r>
          <rPr>
            <sz val="10"/>
            <color indexed="81"/>
            <rFont val="Tahoma"/>
            <family val="2"/>
          </rPr>
          <t xml:space="preserve">
Norma agregada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Nelson González Ortega</author>
  </authors>
  <commentList>
    <comment ref="A6" authorId="0" shapeId="0" xr:uid="{DEFB322E-A0E8-4B81-9735-3241FE41E102}">
      <text>
        <r>
          <rPr>
            <b/>
            <sz val="10"/>
            <color indexed="81"/>
            <rFont val="Tahoma"/>
            <family val="2"/>
          </rPr>
          <t>Nelson González Ortega:</t>
        </r>
        <r>
          <rPr>
            <sz val="10"/>
            <color indexed="81"/>
            <rFont val="Tahoma"/>
            <family val="2"/>
          </rPr>
          <t xml:space="preserve">
Artículo agregado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Nelson González Ortega</author>
  </authors>
  <commentList>
    <comment ref="A5" authorId="0" shapeId="0" xr:uid="{2C96645D-9DAC-4973-A6C1-EC79753DB69C}">
      <text>
        <r>
          <rPr>
            <b/>
            <sz val="10"/>
            <color indexed="81"/>
            <rFont val="Tahoma"/>
            <family val="2"/>
          </rPr>
          <t>Nelson González Ortega:</t>
        </r>
        <r>
          <rPr>
            <sz val="10"/>
            <color indexed="81"/>
            <rFont val="Tahoma"/>
            <family val="2"/>
          </rPr>
          <t xml:space="preserve">
Agregado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Nelson González Ortega</author>
  </authors>
  <commentList>
    <comment ref="A4" authorId="0" shapeId="0" xr:uid="{5B1FECD4-0C82-45F6-B47E-BBE518EC3EBF}">
      <text>
        <r>
          <rPr>
            <b/>
            <sz val="10"/>
            <color indexed="81"/>
            <rFont val="Tahoma"/>
            <family val="2"/>
          </rPr>
          <t>Nelson González Ortega:</t>
        </r>
        <r>
          <rPr>
            <sz val="10"/>
            <color indexed="81"/>
            <rFont val="Tahoma"/>
            <family val="2"/>
          </rPr>
          <t xml:space="preserve">
Artículo agregado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Nelson González Ortega</author>
  </authors>
  <commentList>
    <comment ref="A5" authorId="0" shapeId="0" xr:uid="{6AFBE50A-35EC-4D18-B8DF-192B5CCFE218}">
      <text>
        <r>
          <rPr>
            <b/>
            <sz val="10"/>
            <color indexed="81"/>
            <rFont val="Tahoma"/>
            <family val="2"/>
          </rPr>
          <t>Nelson González Ortega:</t>
        </r>
        <r>
          <rPr>
            <sz val="10"/>
            <color indexed="81"/>
            <rFont val="Tahoma"/>
            <family val="2"/>
          </rPr>
          <t xml:space="preserve">
Artículo agregado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Nelson González Ortega</author>
  </authors>
  <commentList>
    <comment ref="A5" authorId="0" shapeId="0" xr:uid="{BBABD5AF-5D4A-497B-8B36-2BB1B2FA16D8}">
      <text>
        <r>
          <rPr>
            <b/>
            <sz val="10"/>
            <color indexed="81"/>
            <rFont val="Tahoma"/>
            <family val="2"/>
          </rPr>
          <t>Nelson González Ortega:</t>
        </r>
        <r>
          <rPr>
            <sz val="10"/>
            <color indexed="81"/>
            <rFont val="Tahoma"/>
            <family val="2"/>
          </rPr>
          <t xml:space="preserve">
Artículo agregado</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Nelson González Ortega</author>
    <author>tc={68D0200A-00CD-407B-84B8-7146335C1FED}</author>
  </authors>
  <commentList>
    <comment ref="A4" authorId="0" shapeId="0" xr:uid="{C4DDC45C-F365-4EA3-B01B-B7CDB324CCAF}">
      <text>
        <r>
          <rPr>
            <b/>
            <sz val="10"/>
            <color indexed="81"/>
            <rFont val="Tahoma"/>
            <family val="2"/>
          </rPr>
          <t>Nelson González Ortega:</t>
        </r>
        <r>
          <rPr>
            <sz val="10"/>
            <color indexed="81"/>
            <rFont val="Tahoma"/>
            <family val="2"/>
          </rPr>
          <t xml:space="preserve">
Artículo agregado</t>
        </r>
      </text>
    </comment>
    <comment ref="A5" authorId="0" shapeId="0" xr:uid="{6B64FC55-01F9-45F2-80CD-A810BA2F1F7F}">
      <text>
        <r>
          <rPr>
            <b/>
            <sz val="10"/>
            <color indexed="81"/>
            <rFont val="Tahoma"/>
            <family val="2"/>
          </rPr>
          <t>Nelson González Ortega:</t>
        </r>
        <r>
          <rPr>
            <sz val="10"/>
            <color indexed="81"/>
            <rFont val="Tahoma"/>
            <family val="2"/>
          </rPr>
          <t xml:space="preserve">
Artículo agregado</t>
        </r>
      </text>
    </comment>
    <comment ref="A9" authorId="1" shapeId="0" xr:uid="{68D0200A-00CD-407B-84B8-7146335C1FED}">
      <text>
        <t>[Comentario encadenado]
Su versión de Excel le permite leer este comentario encadenado; sin embargo, las ediciones que se apliquen se quitarán si el archivo se abre en una versión más reciente de Excel. Más información: https://go.microsoft.com/fwlink/?linkid=870924
Comentario:
    No coincide con el art 9 de la norma, corresponde al 14
Respuesta:
    Artículo 14, inciso final</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Nelson González Ortega</author>
  </authors>
  <commentList>
    <comment ref="B4" authorId="0" shapeId="0" xr:uid="{C821D349-CA4C-4492-9A8D-DFEB79163A31}">
      <text>
        <r>
          <rPr>
            <b/>
            <sz val="10"/>
            <color indexed="81"/>
            <rFont val="Tahoma"/>
            <family val="2"/>
          </rPr>
          <t>Nelson González Ortega:</t>
        </r>
        <r>
          <rPr>
            <sz val="10"/>
            <color indexed="81"/>
            <rFont val="Tahoma"/>
            <family val="2"/>
          </rPr>
          <t xml:space="preserve">
La reducción de la jornada máxima de trabajo será paulatina, a contar del 24-04-2024</t>
        </r>
      </text>
    </comment>
    <comment ref="B12" authorId="0" shapeId="0" xr:uid="{0CA3F5CA-DDB3-4B17-9976-81687CE913B8}">
      <text>
        <r>
          <rPr>
            <b/>
            <sz val="10"/>
            <color indexed="81"/>
            <rFont val="Tahoma"/>
            <family val="2"/>
          </rPr>
          <t>Nelson González Ortega:</t>
        </r>
        <r>
          <rPr>
            <sz val="10"/>
            <color indexed="81"/>
            <rFont val="Tahoma"/>
            <family val="2"/>
          </rPr>
          <t xml:space="preserve">
Norma citada se modifica a partir del 29/01/2024 (ley 21.645), quedando bajo el siguiente tenor:
"</t>
        </r>
        <r>
          <rPr>
            <i/>
            <sz val="10"/>
            <color indexed="81"/>
            <rFont val="Tahoma"/>
            <family val="2"/>
          </rPr>
          <t>El presente Título se regirá por el principio de parentalidad positiva, que incluye las capacidades prácticas y funciones propias de las y los adultos responsables para cuidar, proteger, educar y asegurar el sano desarrollo a sus hijos e hijas; el principio de corresponsabilidad social, que comprende la promoción en la sociedad de la conciliación de la vida personal, familiar y laboral, especialmente de las personas trabajadoras que ejercen labores de cuidado no remunerado, y el principio de protección a la maternidad y la paternidad, promoviendo la igualdad de oportunidades y de trato entre las mujeres y los hombres, buscando preservar tanto la salud y bienestar de los niños y niñas, como el de sus progenitores y progenitoras. Dichos principios deberán aplicarse siempre en concordancia con las responsabilidades y facultades de administración que este Código reconoce al empleador.
Los empleadores, teniendo en consideración, en cada caso, la naturaleza de la relación laboral y los servicios prestados, deberán promover el equilibrio entre el trabajo y la vida privada, realizando acciones destinadas a informar, educar y sensibilizar sobre la importancia de la conciliación de la vida personal, familiar y laboral, por medio de campañas de sensibilización y difusión realizadas directamente por el empleador o a través de los organismos administradores de la ley N° 16.744. La Superintendencia de Seguridad Social, mediante una norma de carácter general, entregará las directrices para la ejecución de estas acciones y para la entrega de información por parte de las entidades administradoras de la ley N° 16.744.
La protección a la maternidad y la paternidad y la conciliación de la vida personal, familiar y laboral se regirá por las disposiciones del presente título y quedan sujetos a ellas los servicios de la administración pública, los servicios semifiscales, de administración autónoma, de las municipalidades y todos los servicios y establecimientos, cooperativas o empresas industriales, extractivas, agrícolas o comerciales, sean de propiedad fiscal, semifiscal, de administración autónoma o independiente, municipal o particular o perteneciente a una corporación de derecho público o privado.
Las disposiciones anteriores comprenden las sucursales o dependencias de los establecimientos, empresas o servicios indicados.
Estas disposiciones beneficiarán a todos los trabajadores que dependan de cualquier empleador, comprendidos aquellos que trabajan en su domicilio y, en general, a todos los que estén acogidos a algún sistema previsional.
Ningún empleador podrá condicionar la contratación de trabajadoras, su permanencia o renovación de contrato, o la promoción o movilidad en su empleo, a la ausencia o existencia de embarazo, ni exigir para dichos fines certificado o examen alguno para verificar si se encuentra o no en estado de gravidez</t>
        </r>
        <r>
          <rPr>
            <sz val="10"/>
            <color indexed="81"/>
            <rFont val="Tahoma"/>
            <family val="2"/>
          </rPr>
          <t>".</t>
        </r>
      </text>
    </comment>
    <comment ref="A23" authorId="0" shapeId="0" xr:uid="{BF7EE6A8-103B-4341-B716-9DBE040225B9}">
      <text>
        <r>
          <rPr>
            <b/>
            <sz val="10"/>
            <color indexed="81"/>
            <rFont val="Tahoma"/>
            <family val="2"/>
          </rPr>
          <t>Nelson González Ortega:</t>
        </r>
        <r>
          <rPr>
            <sz val="10"/>
            <color indexed="81"/>
            <rFont val="Tahoma"/>
            <family val="2"/>
          </rPr>
          <t xml:space="preserve">
NORMA NO VIGENTE. ELIMINAR</t>
        </r>
      </text>
    </comment>
    <comment ref="A24" authorId="0" shapeId="0" xr:uid="{40805828-29E0-46FB-8496-174199D3BE07}">
      <text>
        <r>
          <rPr>
            <b/>
            <sz val="10"/>
            <color indexed="81"/>
            <rFont val="Tahoma"/>
            <family val="2"/>
          </rPr>
          <t>Nelson González Ortega:</t>
        </r>
        <r>
          <rPr>
            <sz val="10"/>
            <color indexed="81"/>
            <rFont val="Tahoma"/>
            <family val="2"/>
          </rPr>
          <t xml:space="preserve">
NORMA NO VIGENTE. ELIMINAR</t>
        </r>
      </text>
    </comment>
    <comment ref="A25" authorId="0" shapeId="0" xr:uid="{80F05F64-AE42-4F1B-A7FF-022309450A80}">
      <text>
        <r>
          <rPr>
            <b/>
            <sz val="10"/>
            <color indexed="81"/>
            <rFont val="Tahoma"/>
            <family val="2"/>
          </rPr>
          <t>Nelson González Ortega:</t>
        </r>
        <r>
          <rPr>
            <sz val="10"/>
            <color indexed="81"/>
            <rFont val="Tahoma"/>
            <family val="2"/>
          </rPr>
          <t xml:space="preserve">
Norma agregada</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Nelson González Ortega</author>
  </authors>
  <commentList>
    <comment ref="B3" authorId="0" shapeId="0" xr:uid="{55AD0881-FEFF-41F5-9741-1CD29111C67B}">
      <text>
        <r>
          <rPr>
            <b/>
            <sz val="10"/>
            <color indexed="81"/>
            <rFont val="Tahoma"/>
            <family val="2"/>
          </rPr>
          <t>Nelson González Ortega:</t>
        </r>
        <r>
          <rPr>
            <sz val="10"/>
            <color indexed="81"/>
            <rFont val="Tahoma"/>
            <family val="2"/>
          </rPr>
          <t xml:space="preserve">
Revisar aplicación general de las disposiciones del Código Sanitario.</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Nelson González Ortega</author>
  </authors>
  <commentList>
    <comment ref="A6" authorId="0" shapeId="0" xr:uid="{ABA8F777-E849-4CDE-A1B2-ABFFABF8FA73}">
      <text>
        <r>
          <rPr>
            <b/>
            <sz val="10"/>
            <color indexed="81"/>
            <rFont val="Tahoma"/>
            <family val="2"/>
          </rPr>
          <t>Nelson González Ortega:</t>
        </r>
        <r>
          <rPr>
            <sz val="10"/>
            <color indexed="81"/>
            <rFont val="Tahoma"/>
            <family val="2"/>
          </rPr>
          <t xml:space="preserve">
Norma no vigente. ELIMINAR</t>
        </r>
      </text>
    </comment>
  </commentList>
</comments>
</file>

<file path=xl/sharedStrings.xml><?xml version="1.0" encoding="utf-8"?>
<sst xmlns="http://schemas.openxmlformats.org/spreadsheetml/2006/main" count="2669" uniqueCount="947">
  <si>
    <t>Ley 20005 Tipifica y sanciona el acoso sexual</t>
  </si>
  <si>
    <t>D.S. Nº 18 Certificacion de Calidad de EPP</t>
  </si>
  <si>
    <t>Ley Nº 20.047 Establece permiso Paternal</t>
  </si>
  <si>
    <t>ITEM</t>
  </si>
  <si>
    <t>DS 594 "Reglamento sobre condiciones sanitarias y ambientales básicas en los lugares de trabajo"</t>
  </si>
  <si>
    <t>NCH Nº 1411</t>
  </si>
  <si>
    <t>Ley 20096 Establece Mecanismos de Control Aplicables a las Sustancias Agotadoras de la Capa de Ozono</t>
  </si>
  <si>
    <t>D.S.Nº 254 Hoja de datos de seguridad de productos Quimicos</t>
  </si>
  <si>
    <t>Hoja se seguridad en el Sector que exista sustancia peligrosa</t>
  </si>
  <si>
    <t>Reglamenta  Exenciones de las rebajas y recargas de las cotizaciones adicionales por siniestralidad efectiva.</t>
  </si>
  <si>
    <t xml:space="preserve">OF 1978 Prevención  de Riesgos Parte 1 Letreros de seguridad- OF 1978 Parte 2 Señales de seguridad- OF 1978 Parte 3 Tarjetas de Seguridad- OF 2000 Parte 4 Señales de seguridad para la identificacion de riesgos de materiales- OF 1978 Parte 4 Identificacion de riesgos de materiales </t>
  </si>
  <si>
    <t>Completo digital</t>
  </si>
  <si>
    <t>N/A</t>
  </si>
  <si>
    <t xml:space="preserve">                                                          </t>
  </si>
  <si>
    <t>Especificado en Reglamento interno y Contrato de Trabajo.</t>
  </si>
  <si>
    <t>Inspecciones CPHS</t>
  </si>
  <si>
    <t>Inspecciones de CPHS</t>
  </si>
  <si>
    <t>Cuando corresponda</t>
  </si>
  <si>
    <t>D.S.Nº 109 Evaluaciòn de accidente de trabajo y enfermedades profesionales</t>
  </si>
  <si>
    <t>Frecuencia de Evaluación</t>
  </si>
  <si>
    <t>Fecha última Evaluación</t>
  </si>
  <si>
    <t>Estado de Cumplimiento</t>
  </si>
  <si>
    <t xml:space="preserve">Plan de Acción </t>
  </si>
  <si>
    <t>Estado Plan de Acción</t>
  </si>
  <si>
    <t>Adicionalmente, también deberán estar disponibles las Hojas de Datos de Seguridad de las sustancias almacenadas de acuerdo a Norma Chilena Oficial Nº 2245:2015, Hoja de Datos de Seguridad para productos químicos - Contenido y orden de las secciones. La responsabilidad de elaborar o proveer la hoja de datos de seguridad, será del fabricante, importador o proveedor de la sustancia o producto, según corresponda.</t>
  </si>
  <si>
    <t>Articulos</t>
  </si>
  <si>
    <t>Ambito de Aplicación</t>
  </si>
  <si>
    <t>Cumple</t>
  </si>
  <si>
    <t>No Cumple</t>
  </si>
  <si>
    <t>Art. 19</t>
  </si>
  <si>
    <t xml:space="preserve">Nº9 El derecho a la protección  de la salud. El estado protege el libre e igualitario acceso a las acciones de pomoción, protección y recuperación de la salud y de rehabilitación del individuo. le corresponderá, asimismo, la coordinación y control de las acciones relacionadas con la salud, sea que se presten a través de instituciones públicas o privadas, en la forma y condiciones que determine la ley, la que podrá establecer cotizaciones obligatorias. cada persona tendrá el derecho a elegir el sistema de salud al que desee acogerse, sea éste público o privado; </t>
  </si>
  <si>
    <t>Nº18 El derecho a la seguridad social. Las leyes que regulen el ejercicio de este derecho serán de quorum calificado. La acción del Estado estará dirigida a garantizar el acceso de todos los habitantes al goce de prestaciones básicas uniformes.</t>
  </si>
  <si>
    <r>
      <t xml:space="preserve"> La Constitución asegura a todas las personas: Nº8 El derecho a vivir en un medio ambiente libre de contaminación. Es deber del Estado velar para que este derecho no sea afectado y tutelar la preservación de la naturaleza. La ley podrá establecer restricciones específicas al ejercicio de determinados derechos o libertades para proteger el medio ambiente; </t>
    </r>
    <r>
      <rPr>
        <b/>
        <sz val="10"/>
        <rFont val="Calibri"/>
        <family val="2"/>
      </rPr>
      <t/>
    </r>
  </si>
  <si>
    <t>CUERPO LEGAL</t>
  </si>
  <si>
    <t>FECHA EVALUACION</t>
  </si>
  <si>
    <t>CUMPLIMIENTO</t>
  </si>
  <si>
    <t>Parcial</t>
  </si>
  <si>
    <t>No Aplica</t>
  </si>
  <si>
    <t>EVALUACION DE CUMPLIMIENTO</t>
  </si>
  <si>
    <r>
      <t xml:space="preserve">Las dependencias de los establecimientos públicos o privados deberán contar con </t>
    </r>
    <r>
      <rPr>
        <b/>
        <sz val="10"/>
        <rFont val="Calibri"/>
        <family val="2"/>
      </rPr>
      <t>señalización visible</t>
    </r>
    <r>
      <rPr>
        <sz val="10"/>
        <rFont val="Calibri"/>
        <family val="2"/>
      </rPr>
      <t xml:space="preserve"> y permanente en las </t>
    </r>
    <r>
      <rPr>
        <b/>
        <sz val="10"/>
        <rFont val="Calibri"/>
        <family val="2"/>
      </rPr>
      <t>zonas de peligro, indicando el agente y/o condición de riesgo</t>
    </r>
    <r>
      <rPr>
        <sz val="10"/>
        <rFont val="Calibri"/>
        <family val="2"/>
      </rPr>
      <t xml:space="preserve">, así como </t>
    </r>
    <r>
      <rPr>
        <b/>
        <sz val="10"/>
        <rFont val="Calibri"/>
        <family val="2"/>
      </rPr>
      <t>las vías de escape y zonas de seguridad ante emergencias</t>
    </r>
    <r>
      <rPr>
        <sz val="10"/>
        <rFont val="Calibri"/>
        <family val="2"/>
      </rPr>
      <t>.</t>
    </r>
  </si>
  <si>
    <r>
      <t xml:space="preserve">Además deberá indicarse claramente por medio de </t>
    </r>
    <r>
      <rPr>
        <b/>
        <sz val="10"/>
        <rFont val="Calibri"/>
        <family val="2"/>
      </rPr>
      <t>señalización visible</t>
    </r>
    <r>
      <rPr>
        <sz val="10"/>
        <rFont val="Calibri"/>
        <family val="2"/>
      </rPr>
      <t xml:space="preserve"> y permanente la necesidad de </t>
    </r>
    <r>
      <rPr>
        <b/>
        <sz val="10"/>
        <rFont val="Calibri"/>
        <family val="2"/>
      </rPr>
      <t>uso de elementos de protección personal específicos cuando sea necesario.</t>
    </r>
  </si>
  <si>
    <r>
      <t>Los símbolos y palabras</t>
    </r>
    <r>
      <rPr>
        <sz val="10"/>
        <rFont val="Calibri"/>
        <family val="2"/>
      </rPr>
      <t xml:space="preserve"> que se utilicen en la señalización, deberán </t>
    </r>
    <r>
      <rPr>
        <b/>
        <sz val="10"/>
        <rFont val="Calibri"/>
        <family val="2"/>
      </rPr>
      <t>estar de acuerdo</t>
    </r>
    <r>
      <rPr>
        <sz val="10"/>
        <rFont val="Calibri"/>
        <family val="2"/>
      </rPr>
      <t xml:space="preserve"> con la </t>
    </r>
    <r>
      <rPr>
        <b/>
        <sz val="10"/>
        <rFont val="Calibri"/>
        <family val="2"/>
      </rPr>
      <t>normativa nacional vigente</t>
    </r>
    <r>
      <rPr>
        <sz val="10"/>
        <rFont val="Calibri"/>
        <family val="2"/>
      </rPr>
      <t xml:space="preserve">, y la falta de ella con la que determinen las </t>
    </r>
    <r>
      <rPr>
        <b/>
        <sz val="10"/>
        <rFont val="Calibri"/>
        <family val="2"/>
      </rPr>
      <t xml:space="preserve">normas chilenas oficiales </t>
    </r>
    <r>
      <rPr>
        <sz val="10"/>
        <rFont val="Calibri"/>
        <family val="2"/>
      </rPr>
      <t xml:space="preserve">y aparecer en el idioma oficial del país y, en caso necesario cuando haya trabajadores de </t>
    </r>
    <r>
      <rPr>
        <b/>
        <sz val="10"/>
        <rFont val="Calibri"/>
        <family val="2"/>
      </rPr>
      <t>otro idioma, además en el de ellos.</t>
    </r>
  </si>
  <si>
    <r>
      <t>Las sustancias peligrosas deberán almacenarse sólo en recintos específicos destinados para tales efectos,</t>
    </r>
    <r>
      <rPr>
        <sz val="10"/>
        <rFont val="Calibri"/>
        <family val="2"/>
      </rPr>
      <t xml:space="preserve"> en las condiciones adecuadas a las características de cada sustancia  y </t>
    </r>
    <r>
      <rPr>
        <b/>
        <sz val="10"/>
        <rFont val="Calibri"/>
        <family val="2"/>
      </rPr>
      <t>estar identificadas de acuerdo a las normas chilenas oficiales en la materia.</t>
    </r>
  </si>
  <si>
    <r>
      <t xml:space="preserve">El empleador mantendrá disponible permanentemente en el recinto de trabajo, </t>
    </r>
    <r>
      <rPr>
        <b/>
        <sz val="10"/>
        <rFont val="Calibri"/>
        <family val="2"/>
      </rPr>
      <t xml:space="preserve">un plan detallado de acción para enfrentar emergencias, y una hoja de seguridad </t>
    </r>
    <r>
      <rPr>
        <sz val="10"/>
        <rFont val="Calibri"/>
        <family val="2"/>
      </rPr>
      <t>donde se incluyan, a lo menos, los siguientes antecedentes de las sustancias peligrosas</t>
    </r>
    <r>
      <rPr>
        <b/>
        <sz val="10"/>
        <rFont val="Calibri"/>
        <family val="2"/>
      </rPr>
      <t>:</t>
    </r>
    <r>
      <rPr>
        <sz val="10"/>
        <rFont val="Calibri"/>
        <family val="2"/>
      </rPr>
      <t xml:space="preserve"> </t>
    </r>
    <r>
      <rPr>
        <b/>
        <sz val="10"/>
        <rFont val="Calibri"/>
        <family val="2"/>
      </rPr>
      <t>nombre comercial, formula química, compuesto activo, cantidad almacenada, características físico químicas, tipo de riesgo más probable ante una emergencia, croquis de ubicación dentro del recinto donde se señalen las vías de  acceso y elementos existentes para prevenir y controlar las emergencias.</t>
    </r>
  </si>
  <si>
    <r>
      <t xml:space="preserve">Con todo, </t>
    </r>
    <r>
      <rPr>
        <b/>
        <sz val="10"/>
        <rFont val="Calibri"/>
        <family val="2"/>
      </rPr>
      <t>las sustancias inflamables</t>
    </r>
    <r>
      <rPr>
        <sz val="10"/>
        <rFont val="Calibri"/>
        <family val="2"/>
      </rPr>
      <t xml:space="preserve"> deberán almacenarse en forma </t>
    </r>
    <r>
      <rPr>
        <b/>
        <sz val="10"/>
        <rFont val="Calibri"/>
        <family val="2"/>
      </rPr>
      <t>independiente y separada del resto de las sustancias peligrosas,</t>
    </r>
    <r>
      <rPr>
        <sz val="10"/>
        <rFont val="Calibri"/>
        <family val="2"/>
      </rPr>
      <t xml:space="preserve"> en bodegas construidas con resistencia al fuego de acuerdo a lo establecido en la </t>
    </r>
    <r>
      <rPr>
        <b/>
        <sz val="10"/>
        <rFont val="Calibri"/>
        <family val="2"/>
      </rPr>
      <t>Ordenanza General de Urbanismo y Construcción.</t>
    </r>
  </si>
  <si>
    <t>La empresa está obligada a mantener en los lugares de trabajo las condiciones sanitarias y ambientales necesarias para proteger la vida y la salud de los trabajadores que en ellos se desempeñan, sean éstos dependientes directos suyos o lo sean de terceros contratistas que realizan actividades para ella.</t>
  </si>
  <si>
    <t>Artículo 3°</t>
  </si>
  <si>
    <t>La construcción, reconstrucción, alteración, modificación y reparación de los establecimientos y locales de trabajo en general, se regirán por la Ordenanza General de Urbanismo y Construcciones vigente.</t>
  </si>
  <si>
    <t>Artículo 4°</t>
  </si>
  <si>
    <t xml:space="preserve">Art. 5 </t>
  </si>
  <si>
    <t xml:space="preserve"> Las paredes interiores de los lugares de trabajo, los cielos rasos, puertas  y ventanas y demás elementos estructurales, serán mantenidos en buen estado de limpieza y conservación, y será pintados, cuando el caso lo requiera, de acuerdo a la naturaleza de las labores que se ejecutan.</t>
  </si>
  <si>
    <t>Art.6</t>
  </si>
  <si>
    <t xml:space="preserve">Art.7 </t>
  </si>
  <si>
    <r>
      <t>Los pisos de lugares de trabajo, así como los pasillo de tránsitos , se mantendrán libres de todo obstáculo</t>
    </r>
    <r>
      <rPr>
        <sz val="10"/>
        <rFont val="Calibri"/>
        <family val="2"/>
      </rPr>
      <t xml:space="preserve"> que impida un fácil  y seguro desplazamiento de los trabajadores, tanto en las tareas normales como en situaciones de emergencia. </t>
    </r>
  </si>
  <si>
    <t>Los pasillos de circulacion seran lo suficientemente amplios de modo que permitanel movimiento seguro del personal tanto en sus desplazamientos habituales como para el movimiento de materiales, sin exponerlo a accidentes. Asi tambien los espacios entre maquinas por donde circulen psersonas no deberan ser inferiores a 150 cm.</t>
  </si>
  <si>
    <t xml:space="preserve">Art 8 </t>
  </si>
  <si>
    <t xml:space="preserve"> En los trabajos que necesariamente deban ser realizados en locales descubiertos o en sitios a cielo abierto, deberan tomarse  precauciones adecuadas que protejan a los trabajadores contra las inclemencias del tiempo.</t>
  </si>
  <si>
    <t>Art 10</t>
  </si>
  <si>
    <r>
      <t xml:space="preserve"> </t>
    </r>
    <r>
      <rPr>
        <sz val="10"/>
        <rFont val="Calibri"/>
        <family val="2"/>
      </rPr>
      <t>Los lugares de trabajo deberán mantenerse en buenas condiciones de orden y limpieza. Además, deberán tomarse medidas efectivas para evitar la entrada o eliminar la presencia de insectos, roedores y otras plagas de interés sanitario.</t>
    </r>
  </si>
  <si>
    <t>Art. 11</t>
  </si>
  <si>
    <t xml:space="preserve">Art 12 </t>
  </si>
  <si>
    <t>Cualquiera sea los sistemas de abastecimiento, el agua potable debera cumplir con los requisitos fisicos, quimicos, radiactivos y bacteriologiocs, establecidos  en la reglamentacion vigente sobre la materia</t>
  </si>
  <si>
    <t xml:space="preserve">Art 13 </t>
  </si>
  <si>
    <r>
      <t xml:space="preserve"> </t>
    </r>
    <r>
      <rPr>
        <sz val="10"/>
        <rFont val="Calibri"/>
        <family val="2"/>
      </rPr>
      <t>No podrán vaciarse a la red pública de desagües de aguas servidas sustancias radiactivas, corrosivas, venenosas, infecciosas, explosivas o inflamables o que tengan carácter peligroso en conformidad a la legislación y reglamentación vigente. La descarga de contaminantes al sistema de alcantarillado se ceñirá a lo dispuesto en la Ley de Bases Generales del Medio Ambiente y las normas de emisión y demás normativa complementaria de ésta</t>
    </r>
  </si>
  <si>
    <t>Art. 16:</t>
  </si>
  <si>
    <t xml:space="preserve"> Art.22 </t>
  </si>
  <si>
    <t>Artículo 23</t>
  </si>
  <si>
    <t xml:space="preserve"> Los servicios higiénicos y/o las letrinas sanitarias o baños químicos no podrán estar instalados a más de 75 metros de distancia del área de trabajo, salvo casos calificados por la autoridad sanitaria.</t>
  </si>
  <si>
    <t>Art. 25</t>
  </si>
  <si>
    <t>: Las aguas servidas de carácter doméstico deberán ser conducidas al alcantarillado público, o en su defecto, su disposición final se efectuará por medio de sistemas o plantas particulares en conformidad a los reglamentos específicos vigentes.</t>
  </si>
  <si>
    <t>Artículo 26</t>
  </si>
  <si>
    <t>Artículo 28</t>
  </si>
  <si>
    <t>Todo lugar de trabajo debera mantener por medios naturales o artificiales una ventilacion que contribuya a proporcionar condiciones ambientales confortables y que no causen molestias o perjudiquen la salud del trabajador.</t>
  </si>
  <si>
    <t xml:space="preserve">Art 32 </t>
  </si>
  <si>
    <t>Artículo 33</t>
  </si>
  <si>
    <r>
      <t xml:space="preserve"> Los locales de trabajo</t>
    </r>
    <r>
      <rPr>
        <sz val="10"/>
        <rFont val="Calibri"/>
        <family val="2"/>
      </rPr>
      <t xml:space="preserve"> se diseñarán de forma que por cada trabajador se provea un </t>
    </r>
    <r>
      <rPr>
        <b/>
        <sz val="10"/>
        <rFont val="Calibri"/>
        <family val="2"/>
      </rPr>
      <t>volumen de 10 metros cúbicos, como mínimo</t>
    </r>
    <r>
      <rPr>
        <sz val="10"/>
        <rFont val="Calibri"/>
        <family val="2"/>
      </rPr>
      <t xml:space="preserve">, </t>
    </r>
    <r>
      <rPr>
        <b/>
        <sz val="10"/>
        <rFont val="Calibri"/>
        <family val="2"/>
      </rPr>
      <t>salvo</t>
    </r>
    <r>
      <rPr>
        <sz val="10"/>
        <rFont val="Calibri"/>
        <family val="2"/>
      </rPr>
      <t xml:space="preserve"> que se justifique una renovación adecuada del aire por medios mecánicos. En este caso deberán recibir aire fresco y limpio a razón</t>
    </r>
    <r>
      <rPr>
        <b/>
        <sz val="10"/>
        <rFont val="Calibri"/>
        <family val="2"/>
      </rPr>
      <t xml:space="preserve"> de 20 metros cúbicos por hora y por persona o </t>
    </r>
    <r>
      <rPr>
        <sz val="10"/>
        <rFont val="Calibri"/>
        <family val="2"/>
      </rPr>
      <t>una cantidad tal que provean</t>
    </r>
    <r>
      <rPr>
        <b/>
        <sz val="10"/>
        <rFont val="Calibri"/>
        <family val="2"/>
      </rPr>
      <t xml:space="preserve"> 6 cambios por hora, como</t>
    </r>
    <r>
      <rPr>
        <sz val="10"/>
        <rFont val="Calibri"/>
        <family val="2"/>
      </rPr>
      <t xml:space="preserve"> </t>
    </r>
    <r>
      <rPr>
        <b/>
        <sz val="10"/>
        <rFont val="Calibri"/>
        <family val="2"/>
      </rPr>
      <t xml:space="preserve">mínimo, pudiéndose alcanzar hasta los 60 cambios por hora, </t>
    </r>
    <r>
      <rPr>
        <sz val="10"/>
        <rFont val="Calibri"/>
        <family val="2"/>
      </rPr>
      <t>según sean las condiciones ambientales existentes, o en razón de la magnitud de la concentración de los contaminantes.</t>
    </r>
  </si>
  <si>
    <t>Art 34</t>
  </si>
  <si>
    <t>Artículo 36</t>
  </si>
  <si>
    <r>
      <t xml:space="preserve"> </t>
    </r>
    <r>
      <rPr>
        <sz val="10"/>
        <rFont val="Calibri"/>
        <family val="2"/>
      </rPr>
      <t xml:space="preserve">Todos los locales o lugares de trabajo deberán de contar con vías de evacuación horizontales y/o verticales que, además de cumplir con las exigencias de la Ordenanza General de Urbanismo y Construcción, dispongan de salidas en número, capacidad y ubicación y con </t>
    </r>
    <r>
      <rPr>
        <b/>
        <sz val="10"/>
        <rFont val="Calibri"/>
        <family val="2"/>
      </rPr>
      <t>la identificación</t>
    </r>
    <r>
      <rPr>
        <sz val="10"/>
        <rFont val="Calibri"/>
        <family val="2"/>
      </rPr>
      <t xml:space="preserve"> apropiada para permitir la segura, rápida y expedita salida de todos sus ocupantes hacia zonas de seguridad. Las puertas de salida </t>
    </r>
    <r>
      <rPr>
        <b/>
        <sz val="10"/>
        <rFont val="Calibri"/>
        <family val="2"/>
      </rPr>
      <t>no deberán abrirse en contra del sentido de evacuación y sus accesos deberán conservarse señalizados y libres de obstrucciones.</t>
    </r>
    <r>
      <rPr>
        <sz val="10"/>
        <rFont val="Calibri"/>
        <family val="2"/>
      </rPr>
      <t xml:space="preserve"> Estas salidas podrán mantenerse entornadas, pero no cerradas con llave, candado u otro medio que impida su fácil apertura.</t>
    </r>
  </si>
  <si>
    <t>Deberan estar debidamente protegidas las partes moviles, transmisiones y puntos de operación de maquinarias y equipos</t>
  </si>
  <si>
    <t>Art 38</t>
  </si>
  <si>
    <t>Artículo 39</t>
  </si>
  <si>
    <t>Artículo 40</t>
  </si>
  <si>
    <t xml:space="preserve"> El almacenamiento de materiales deberá realizarse por procedimientos y en lugares apropiados y seguros para los trabajadores. </t>
  </si>
  <si>
    <t>Art. 42</t>
  </si>
  <si>
    <t>Art 43</t>
  </si>
  <si>
    <r>
      <rPr>
        <sz val="10"/>
        <rFont val="Calibri"/>
        <family val="2"/>
      </rPr>
      <t xml:space="preserve"> En todo lugar de trabajo deberán implementarse las </t>
    </r>
    <r>
      <rPr>
        <b/>
        <sz val="10"/>
        <rFont val="Calibri"/>
        <family val="2"/>
      </rPr>
      <t xml:space="preserve">medidas necesarias para la prevención de incendios </t>
    </r>
    <r>
      <rPr>
        <sz val="10"/>
        <rFont val="Calibri"/>
        <family val="2"/>
      </rPr>
      <t xml:space="preserve">con el fin de disminuir la posibilidad  de inicio de un fuego, </t>
    </r>
    <r>
      <rPr>
        <b/>
        <sz val="10"/>
        <rFont val="Calibri"/>
        <family val="2"/>
      </rPr>
      <t>controlando las cargas combustibles y las fuentes de calor e inspeccionando las instalaciones a través de un programa preestablecido.</t>
    </r>
    <r>
      <rPr>
        <sz val="10"/>
        <rFont val="Calibri"/>
        <family val="2"/>
      </rPr>
      <t xml:space="preserve"> </t>
    </r>
  </si>
  <si>
    <t>Art. 45</t>
  </si>
  <si>
    <t>Artículo 46.</t>
  </si>
  <si>
    <r>
      <rPr>
        <sz val="10"/>
        <rFont val="Calibri"/>
        <family val="2"/>
      </rPr>
      <t xml:space="preserve"> Los extintores se ubicarán en sitios de fácil acceso y </t>
    </r>
    <r>
      <rPr>
        <b/>
        <sz val="10"/>
        <rFont val="Calibri"/>
        <family val="2"/>
      </rPr>
      <t>clara identificación</t>
    </r>
    <r>
      <rPr>
        <sz val="10"/>
        <rFont val="Calibri"/>
        <family val="2"/>
      </rPr>
      <t xml:space="preserve">, libres de cualquier obstáculo, y estarán en condiciones de funcionamiento máximo. Se colocarán a </t>
    </r>
    <r>
      <rPr>
        <b/>
        <sz val="10"/>
        <rFont val="Calibri"/>
        <family val="2"/>
      </rPr>
      <t>una altura máxima de 1.3 metros</t>
    </r>
    <r>
      <rPr>
        <sz val="10"/>
        <rFont val="Calibri"/>
        <family val="2"/>
      </rPr>
      <t xml:space="preserve">, medidos desde el suelo hasta la base del extintor y estarán </t>
    </r>
    <r>
      <rPr>
        <b/>
        <sz val="10"/>
        <rFont val="Calibri"/>
        <family val="2"/>
      </rPr>
      <t>debidamente señalizado</t>
    </r>
  </si>
  <si>
    <t>Art. 47</t>
  </si>
  <si>
    <t xml:space="preserve"> Todo el personal que se desempeña en un lugar de trabajo debera ser instruido y entrenado sobre la manera de usar los extintores en caso de emergencia</t>
  </si>
  <si>
    <t>Art 48</t>
  </si>
  <si>
    <r>
      <rPr>
        <sz val="10"/>
        <rFont val="Calibri"/>
        <family val="2"/>
      </rPr>
      <t xml:space="preserve">Los extintores deberán ser sometidos a  </t>
    </r>
    <r>
      <rPr>
        <b/>
        <sz val="10"/>
        <rFont val="Calibri"/>
        <family val="2"/>
      </rPr>
      <t>revisión, control y mantención preventiva</t>
    </r>
    <r>
      <rPr>
        <sz val="10"/>
        <rFont val="Calibri"/>
        <family val="2"/>
      </rPr>
      <t xml:space="preserve"> según las normas chilenas oficiales, realizada por el fabricante o servicio técnico, de acuerdo con lo indicado en el </t>
    </r>
    <r>
      <rPr>
        <b/>
        <sz val="10"/>
        <rFont val="Calibri"/>
        <family val="2"/>
      </rPr>
      <t>Decreto N°369 de 1996</t>
    </r>
    <r>
      <rPr>
        <sz val="10"/>
        <rFont val="Calibri"/>
        <family val="2"/>
      </rPr>
      <t>, del Ministerio de Economía, Fomento y Reconstrucción</t>
    </r>
    <r>
      <rPr>
        <b/>
        <sz val="10"/>
        <rFont val="Calibri"/>
        <family val="2"/>
      </rPr>
      <t xml:space="preserve">, por lo menos una vez al año, </t>
    </r>
    <r>
      <rPr>
        <sz val="10"/>
        <rFont val="Calibri"/>
        <family val="2"/>
      </rPr>
      <t>haciendo constar esta circunstancia en la etiqueta correspondiente, a fin de verificar sus condiciones de funcionamiento.</t>
    </r>
    <r>
      <rPr>
        <b/>
        <sz val="10"/>
        <rFont val="Calibri"/>
        <family val="2"/>
      </rPr>
      <t xml:space="preserve"> </t>
    </r>
    <r>
      <rPr>
        <sz val="10"/>
        <rFont val="Calibri"/>
        <family val="2"/>
      </rPr>
      <t>Será responsabilidad del empleador tomar las medidas necesarias para evitar que los lugares de trabajo queden desprovistos de extintores cuando se deba proceder a dicha mantención.</t>
    </r>
  </si>
  <si>
    <t xml:space="preserve">Art. 51 </t>
  </si>
  <si>
    <t>Artículo 52</t>
  </si>
  <si>
    <t>Art. 53</t>
  </si>
  <si>
    <t>Artículo 54:</t>
  </si>
  <si>
    <t xml:space="preserve">Art 57 </t>
  </si>
  <si>
    <t>Artículo 58:</t>
  </si>
  <si>
    <t>Artículo 60:</t>
  </si>
  <si>
    <t xml:space="preserve">Artículo 61: </t>
  </si>
  <si>
    <t>Art.74</t>
  </si>
  <si>
    <t>Art.75</t>
  </si>
  <si>
    <t>Art.100</t>
  </si>
  <si>
    <t>Art.103</t>
  </si>
  <si>
    <t>En los lugares de trabajo, y de acuerdo con la naturaleza del lugar y de la faena, en los baños, cocinas, comedores y en los dormitorios a que se refiere el artículo 120, deberán adoptarse medidas efectivas que tiendan a evitar la entrada, o a eliminar, la presencia de insectos, roedores y otras plagas de interés sanitario.</t>
  </si>
  <si>
    <t>Art.122</t>
  </si>
  <si>
    <t xml:space="preserve"> La exposición ocupacional a ruido estable o fluctuante deberá ser controlada de modo que para una jornada de 8 horas diarias ningún trabajador podrá estar expuesto a un nivel de presión sonora continuo equivalente superior a 85 dB(A) lento, medidos en la posición del oído del trabajador.</t>
  </si>
  <si>
    <t>El promedio ponderado de las concentraciones ambientales de contaminantes químicos no deberá superar los límites permisibles ponderados (LPP) establecidos en el artículo 66 del presente Reglamento. Se podrán exceder momentáneamente estos límites, pero en ningún caso superar cinco veces su valor. Con todo, respecto de aquellas sustancias para las cuales se establece además un límite permisible temporal (LPT), tales excesos no podrán superar estos límites.
Tanto los excesos de los límites permisibles ponderados, como la exposición a límites permisibles temporales, no podrán repetirse más de cuatro veces en la jornada diaria, ni más de una vez en una hora.</t>
  </si>
  <si>
    <t>DFL 458 APRUEBA NUEVA LEY GENERAL DE URBANISMO Y CONSTRUCCIONES</t>
  </si>
  <si>
    <t>DS 43 APRUEBA EL REGLAMENTO DE ALMACENAMIENTO DE SUSTANCIAS PELIGROSAS</t>
  </si>
  <si>
    <t>Los envases de las sustancias deberán estar diseñados de forma que impidan las pérdidas de contenido; deben ser adecuados para su conservación, ser de un material químicamente compatible con la sustancia, de difícil ruptura y que minimice eventuales accidentes.</t>
  </si>
  <si>
    <t>Art. 9</t>
  </si>
  <si>
    <t>Art.18</t>
  </si>
  <si>
    <t>Art.21</t>
  </si>
  <si>
    <t>Art.23</t>
  </si>
  <si>
    <t>Art.24</t>
  </si>
  <si>
    <t>Art.25</t>
  </si>
  <si>
    <t>Podrán almacenarse sustancias peligrosas envasadas en bodegas comunes, cuando la cantidad total sea como máximo 12 t.</t>
  </si>
  <si>
    <t>Se deberá contar con las hojas de datos de seguridad de cada una de las sustancias almacenadas a disposición de quienes las manejan.</t>
  </si>
  <si>
    <t>Los envases menores o iguales a 5 kg o L y los de vidrio, deberán estar en estanterías de material no absorbente, liso y lavable, cerradas o con sistema antivuelco, con control de derrames y ventilación para evitar la acumulación de gases en su interior. Dicha estantería deberá contar con señalización que indique almacenamiento de sustancias peligrosas, de acuerdo a los rótulos de la NCh 2190 Of.2003, oficializada por decreto Nº 43 de fecha 23.04.2004 del Ministerio de Transporte y Telecomunicaciones. En el caso de sustancias tóxicas, la estantería deberá ser siempre cerrada.</t>
  </si>
  <si>
    <t>El lugar donde estén almacenadas las sustancias peligrosas deberá contar con un sistema de control de derrames, que puede consistir en materiales absorbentes o bandejas de contención, y contar con un sistema manual de extinción de incendios, a base de extintores, compatibles con los productos almacenados, en que las cantidades, distribución, potencial de extinción y mantenimiento, entre otros aspectos, deberán estar de acuerdo a lo establecido en el decreto Nº 594 de 1999, del Ministerio de Salud, Reglamento sobre Condiciones Sanitarias y Ambientales Básicas en los Lugares de Trabajo.</t>
  </si>
  <si>
    <t>Podrán almacenarse sustancias peligrosas envasadas sobre el piso o en estanterías de material liso no absorbente, en instalaciones que no estén destinadas al almacenamiento o que no constituyan una bodega, cuando su cantidad total no sea superior a 600 kg o L.</t>
  </si>
  <si>
    <t>Estará prohibido fumar al interior de cualquier instalación donde se almacenen sustancias peligrosas, lo que deberá señalarse mediante letreros que indiquen "No fumar", en el acceso principal de la instalación y, en el caso de bodegas, al interior de la misma, en lugares fácilmente visibles.</t>
  </si>
  <si>
    <t>Las sustancias peligrosas deberán estar contenidas en envases, debidamente etiquetadas según lo estipulado en el Título XII del presente reglamento, excepto aquellas que se almacenen a granel.</t>
  </si>
  <si>
    <t xml:space="preserve"> Los propietarios que soliciten un permiso de edificación podrán contratar un revisor independiente, con inscripción vigente en el Registro Nacional de Revisores Independientes de Obras de Construcción, del Ministerio de la Vivienda y Urbanismo creado por la ley Nº 20.071. Sin embargo, será obligatoria la contratación de un revisor independiente cuando se trate de edificios de uso público y demás casos que determine la Ordenanza General.</t>
  </si>
  <si>
    <t>Artículo 117.-</t>
  </si>
  <si>
    <t xml:space="preserve">Artículo 119°.- </t>
  </si>
  <si>
    <t>Artículo 121°.-</t>
  </si>
  <si>
    <t>En los antejardines fijados en los planes reguladores sólo podrán efectuarse las construcciones que estén expresamente admitidas en la Ordenanza General de esta ley o en la ordenanza del respectivo instrumento de planificación.
     Sin perjuicio de lo anterior, podrán autorizarse construcciones provisorias, conforme al artículo 124.</t>
  </si>
  <si>
    <t xml:space="preserve">Artículo 122.- </t>
  </si>
  <si>
    <t xml:space="preserve">Artículo 123°.- </t>
  </si>
  <si>
    <t xml:space="preserve">Artículo 124°.- </t>
  </si>
  <si>
    <t>Artículo 130.-</t>
  </si>
  <si>
    <t xml:space="preserve"> Los derechos, aportes, garantías u otros pagos, que dicen relación con uniones, empalmes, extensiones, refuerzos o dación de servicios sanitarios y de pavimentación, serán establecidos por resolución del respectivo servicio, previa aprobación del Ministerio de la Vivienda y Urbanismo.</t>
  </si>
  <si>
    <t xml:space="preserve">   Artículo 132°.-</t>
  </si>
  <si>
    <t>Artículo 144.-</t>
  </si>
  <si>
    <t xml:space="preserve"> Terminada una obra o parte de la misma que pueda habilitarse independientemente, el propietario y el arquitecto solicitarán 
su recepción definitiva por la Dirección de Obras Municipales. Sin perjuicio de las recepciones definitivas parciales, habrá, en todo caso, una recepción definitiva del total de las obras.</t>
  </si>
  <si>
    <t>DS 47 FIJA NUEVO TEXTO DE LA ORDENANZA GENERAL DE LA LEY GENERAL DE URBANISMO Y CONSTRUCCIONES</t>
  </si>
  <si>
    <t>Titulo III Del Reglamento Interno
En los casos en que las infracciones por parte de los trabajadores a las normas de los reglamentos internos se sancionen con multa, ésta no podrá exceder de la cuarta parte de la remuneración diaria del infractor, y de su aplicación podrá reclamarse ante la Inspección del Trabajo que corresponda.</t>
  </si>
  <si>
    <t xml:space="preserve">Art. 157. </t>
  </si>
  <si>
    <t>Título VI De la capacitación ocupacional
 La empresa es responsable de las actividades relacionadas con la capacitación ocupacional de sus trabajadores, entendiéndose por tal, el proceso destinado a promover, facilitar, fomentar y desarrollar las aptitudes, habilidades o grados de conocimientos de los trabajadores, con el fin de permitirles mejores oportunidades y condiciones de vida y de trabajo; y a incrementar la productividad nacional, procurando la necesaria adaptación de los trabajadores a los procesos tecnológicos y a las modificaciones estructurales de la economía, sin perjuicio de las acciones que en conformidad a la ley competen al Servicio Nacional de Capacitación y Empleo y a los servicios e instituciones del sector público.</t>
  </si>
  <si>
    <t>Art. 179.</t>
  </si>
  <si>
    <t xml:space="preserve"> Los trabajadores beneficiarios de las acciones de capacitación ocupacional mantendrán íntegramente sus remuneraciones, cualquiera fuere la modificación de sus jornadas de trabajo. No obstante, las horas extraordinarias destinadas a capacitación no darán derecho a remuneración.
El accidente que sufriere el trabajador a causa o con ocasión de estos estudios, quedará comprendido dentro del concepto que para tal efecto establece la Ley Nº 16.744 sobre Seguro Social contra Riesgos de Accidentes del Trabajo y Enfermedades Profesionales, y dará derecho a las prestaciones consiguientes.</t>
  </si>
  <si>
    <t>Art. 181.</t>
  </si>
  <si>
    <t>TITULO III DEL SEGURO SOCIAL CONTRA RIESGOS DE ACCIDENTES DEL TRABAJO Y ENFERMEDADES PROFESIONALES
El seguro de accidentes del trabajo y enfermedades profesionales se financia, en la forma que prescribe la ley N° 16.744, con una cotización básica general y una cotización adicional diferenciada en función de la actividad y riesgo de la empresa o entidad empleadora, ambas de cargo del empleador; y con el producto de las multas que apliquen los organismos administradores, las utilidades o rentas que produzcan la inversión de los fondos de reserva y con las cantidades que estos organismos obtengan por el ejercicio del derecho a repetir contra el empleador.</t>
  </si>
  <si>
    <t xml:space="preserve">Art. 211. </t>
  </si>
  <si>
    <t>Título IV
DE LA INVESTIGACION Y SANCION DEL ACOSO SEXUAL
En caso de acoso sexual, la persona afectada deberá hacer llegar su reclamo por escrito a la dirección de la empresa, establecimiento o servicio o a la respectiva Inspección del Trabajo.</t>
  </si>
  <si>
    <t xml:space="preserve">Artículo 211-A.- </t>
  </si>
  <si>
    <t>Título IV
DE LA INVESTIGACION Y SANCION DEL ACOSO SEXUAL
.- Las conclusiones de la investigación realizada por la Inspección del Trabajo o las observaciones de ésta a aquélla practicada en forma interna, serán puestas en conocimiento del empleador, el denunciante y el denunciado.</t>
  </si>
  <si>
    <t>Artículo 211-D</t>
  </si>
  <si>
    <t>Título IV
DE LA INVESTIGACION Y SANCION DEL ACOSO SEXUAL
 En conformidad al mérito del informe, el empleador deberá, dentro de los siguientes quince días, contados desde la recepción del mismo, disponer y aplicar las medidas o sanciones que correspondan.</t>
  </si>
  <si>
    <t>Artículo 211-E.-</t>
  </si>
  <si>
    <t>Art. 212.</t>
  </si>
  <si>
    <t>Art. 289.</t>
  </si>
  <si>
    <t>Art. 303.</t>
  </si>
  <si>
    <t>Título IV
DE LA INVESTIGACION Y SANCION DEL ACOSO SEXUAL
- Recibida la denuncia, el empleador deberá adoptar las medidas de resguardo necesarias respecto de los involucrados, tales como la separación de los espacios físicos o la redistribución del tiempo de jornada, considerando la gravedad de los hechos imputados y las posibilidades derivadas de las condiciones de trabajo.
En caso que la denuncia sea realizada ante la Inspección del Trabajo, ésta sugerirá a la brevedad la adopción de aquellas medidas al empleador.</t>
  </si>
  <si>
    <t>Artículo 211-B.</t>
  </si>
  <si>
    <t>Título VI
DE LA HUELGA Y DEL CIERRE TEMPORAL DE LA
EMPRESA
 Si llegada la fecha de término del contrato, o transcurridos más de cuarenta y cinco días desde la presentación del respectivo proyecto si la negociación se ajusta al procedimiento del Capítulo I del Título II, o más de sesenta si la negociación se ajusta al procedimiento del Capítulo II del Título II, las partes aún no hubieren logrado un acuerdo, podrán prorrogar la vigencia del contrato anterior y continuar las negociaciones.</t>
  </si>
  <si>
    <t>Art. 369.</t>
  </si>
  <si>
    <t>Título IV
DE LA INVESTIGACION Y SANCION DEL ACOSO SEXUAL
- El empleador dispondrá la realización de una investigación interna de los hechos o, en el plazo de cinco días, remitirá los antecedentes a la Inspección del Trabajo respectiva.
En cualquier caso la investigación deberá concluirse en el plazo de treinta días.
Si se optare por una investigación interna, ésta deberá constar por escrito, ser llevada en estricta reserva, garantizando que ambas partes sean oídas y puedan fundamentar sus dichos, y las conclusiones deberán enviarse a la Inspección del Trabajo respectiva.</t>
  </si>
  <si>
    <t>Artículo 211-C.</t>
  </si>
  <si>
    <t>Título II
Del procedimiento de reclamación de multas y demás resoluciones administrativas
. Las sanciones por infracciones a la legislación laboral y de seguridad social y a sus reglamentos, se aplicarán administrativamente por los respectivos inspectores del trabajo o por los funcionarios que se determinen en el reglamento correspondiente. Dichos funcionarios actuarán como ministros de fe.</t>
  </si>
  <si>
    <t>TITULO III DEL SEGURO SOCIAL CONTRA RIESGOS DE ACCIDENTES DEL TRABAJO Y ENFERMEDADES PROFESIONALES
 Las empresas o entidades a que se refiere la ley N° 16.744, están obligadas a adoptar y mantener medidas de higiene y seguridad en la forma, dentro de los términos y con las sanciones que señala esa ley.</t>
  </si>
  <si>
    <t>Art. 210.</t>
  </si>
  <si>
    <t>TITULO III DEL SEGURO SOCIAL CONTRA RIESGOS DE ACCIDENTES DEL TRABAJO Y ENFERMEDADES PROFESIONALES
 El empleador es responsable de las obligaciones de afiliación y cotización que se originan del seguro social obligatorio contra riesgos de accidentes del trabajo y enfermedades profesionales regulado por la ley N° 16.744.
En los mismos términos, el dueño de la obra, empresa o faena es subsidiariamente responsable de las obligaciones que en materia de afiliación y cotización, afecten a los contratistas en relación con las obligaciones de sus subcontratistas.</t>
  </si>
  <si>
    <t>Art. 209.</t>
  </si>
  <si>
    <t>TITULO II DE LA PROTECCION A LA MATERNIDAD
 La protección a la maternidad se regirá por las disposiciones del presente título y quedan sujetos a ellas los servicios de la administración pública, los servicios semifiscales, de administración autónoma, de las municipalidades y todos los servicios y establecimientos, cooperativas o empresas industriales, extractivas, agrícolas o comerciales, sean de propiedad fiscal, semifiscal, de administración autónoma o independiente, municipal o particular o perteneciente a una corporación de derecho público o privado.</t>
  </si>
  <si>
    <t>Art. 194.</t>
  </si>
  <si>
    <t>D.F.L. Nº 1 FIJA EL TEXTO REFUNDIDO, COORDINADO Y SISTEMATIZADO DEL CÓDIGO DEL TRABAJO</t>
  </si>
  <si>
    <t>Art.153</t>
  </si>
  <si>
    <t>Art.154</t>
  </si>
  <si>
    <t>LIBRO III DE LAS ORGANIZACIONES SINDICALES Y DEL DELEGADO DEL PERSONAL
 Reconócese a los trabajadores del sector privado y de las empresas del Estado, cualquiera sea su naturaleza jurídica, el derecho de constituir, sin autorización previa, las organizaciones sindicales que estimen convenientes, con la sola condición de sujetarse a la ley y a los estatutos de las mismas.</t>
  </si>
  <si>
    <t>LIBRO IV
DE LA NEGOCIACION COLECTIVA
Título I
NORMAS GENERALES
 Negociación colectiva es el procedimiento a través del cual uno o más empleadores se relacionan con una o más organizaciones sindicales o con trabajadores que se unan para tal efecto, o con unos y otros, con el objeto de establecer condiciones comunes de trabajo y de remuneraciones por un tiempo determinado, de acuerdo con las normas contenidas en los artículos siguientes.
La negociación colectiva que afecte a más de una empresa requerirá siempre acuerdo previo de las partes.</t>
  </si>
  <si>
    <t>Artículo 3.4.1.</t>
  </si>
  <si>
    <t>Tratándose de una solicitud de recepción definitiva total o parcial que comprenda uno o más terrenos cedidos para equipamiento, de conformidad al artículo 70 de la Ley General de Urbanismo y Construcciones, deberá adjuntarse, además de los antecedentes señalados en el artículo 3.4.1. de esta Ordenanza, certificado del Conservador de Bienes Raíces respectivo que acredite que dicho terreno se encuentra libre de prohibiciones, hipotecas y gravámenes y certificado del Servicio de Impuestos Internos, así como de las empresas de servicios de utilidad pública que correspondan, en los que conste que dicho terreno se encuentra sin deudas pendientes en el pago de contribuciones y en el pago de los servicios básicos, respectivamente.</t>
  </si>
  <si>
    <t xml:space="preserve"> Artículo 3.4.1. bis.- </t>
  </si>
  <si>
    <t>. Será de responsabilidad del urbanizador, la tramitación y obtención de las aprobaciones y la certificación de la ejecución de las obras que contemplen los proyectos, ante los servicios, empresas u organismos técnicos competentes, en forma previa a la solicitud de recepción.</t>
  </si>
  <si>
    <t>Artículo 3.4.2</t>
  </si>
  <si>
    <t xml:space="preserve"> Se entenderá por recibido un loteo, cuando el Director de Obras Municipales emita el correspondiente certificado de recepción definitiva de las obras de urbanización. Lo anterior será igualmente aplicable a los demás casos contemplados en el artículo 2.2.4. de esta Ordenanza.</t>
  </si>
  <si>
    <t>Artículo 4.14.1.</t>
  </si>
  <si>
    <t xml:space="preserve"> Los establecimientos industriales  o de bodegaje se clasificarán según su rubro o giro de  actividad para los efectos de la respectiva patente.</t>
  </si>
  <si>
    <t>Los establecimientos industriales o de bodegaje serán calificados caso a caso por el Secretaría Regional Ministerial de Salud respectiva, en consideración a los riesgos que su funcionamiento pueda causar a sus trabajadores, vecindario y comunidad; para estos efectos, se calificarán como sigue:
     1. Peligroso: el que por el alto riesgo potencial permanente y por la índole eminentemente peligrosa, explosiva o nociva de sus procesos, materias primas, productos intermedios o finales o acopio de los mismos, pueden llegar a causar daño de carácter catastrófico para la salud o la propiedad, en un radio que excede los límites del propio predio.
     2. Insalubre o contaminante: el que por destinación o por las operaciones o procesos que en ellos se practican o por los elementos que se acopian, dan lugar a consecuencias tales como vertimientos, desprendimientos, emanaciones, trepidaciones, ruidos, que puedan llegar a alterar el equilibrio del medio ambiente por el uso desmedido de la naturaleza o por la incorporación a la biósfera de sustancias extrañas, que perjudican directa o indirectamente la salud humana y ocasionen daños a los recursos agrícolas, forestales, pecuarios, piscícolas, u otros.
     3. Molesto: aquel cuyo proceso de tratamientos de insumos, fabricación o almacenamiento de materias primas o productos finales, pueden ocasionalmente causar daños a la salud o la propiedad, y que normalmente quedan circunscritos al predio de la propia instalación, o bien, aquellos que puedan atraer insectos o roedores, producir ruidos o vibraciones, u otras consecuencias, causando con ello molestias que se prolonguen en cualquier período del día o de la noche.
     4. Inofensivo: aquel que no produce daños ni molestias a la comunidad, personas o entorno, controlando y neutralizando los efectos del proceso productivo o de acopio, siempre dentro del propio predio e instalaciones, resultando éste inocuo.</t>
  </si>
  <si>
    <t xml:space="preserve">Artículo 4.14.2. </t>
  </si>
  <si>
    <t>Artículo 4.14.3.</t>
  </si>
  <si>
    <t>Artículo 4.14.10.</t>
  </si>
  <si>
    <t>Los establecimientos a que se refiere este Capítulo deberán cumplir con todas las demás disposiciones de la presente Ordenanza que les sean aplicables y sólo podrán establecerse en los emplazamientos que determine el instrumento de planificación territorial correspondiente, y a falta de éste, en los lugares que determine la autoridad municipal previo informe favorable de la Secretaría Regional Ministerial de Vivienda y Urbanismo y Secretaría Regional Ministerial de Salud, respectivas.</t>
  </si>
  <si>
    <t>Los locales de trabajo tendrán una capacidad volumétrica no inferior a 10 m3 por trabajador, salvo que se justifique una renovación adecuada del aire por medios mecánicos.
     Las ventanas deberán permitir una renovación mínima de aire de 8 m3 por hora, salvo que se establezcan medios mecánicos de ventilación.
     En todo caso, la ventilación de los locales de trabajo debe proyectarse de manera que pueda mantenerse en ellos una atmósfera constantemente libre de vapores, polvo, gases nocivos, o un grado de humedad que no exceda al del ambiente exterior.</t>
  </si>
  <si>
    <t xml:space="preserve"> Artículo 4.14.11.</t>
  </si>
  <si>
    <t>Los locales de trabajo deben tener puertas de salida que abran hacia el exterior, en número suficiente para permitir su fácil evacuación.
     Los establecimientos industriales que ocupen más de dos pisos tendrán escaleras en número suficiente para que no se produzcan recorridos mayores de 40 m para llegar a una de ellas.</t>
  </si>
  <si>
    <t xml:space="preserve"> Los establecimientos industriales deberán estar dotados de servicios higiénicos, a lo menos con el número de artefactos exigidos por el Ministerio de Salud para los lugares de trabajo, de conformidad a la legislación vigente.
    Se deberá considerar asimismo, espacios e instalaciones para personas con discapacidad en los accesos, rutas accesibles, estacionamientos, circulaciones, vías de evacuación y servicios higiénicos; incluidos el o los recintos de atención de público si el proyecto lo considerare.
     Los establecimientos que ocupen más de 50 personas tendrán una sala destinada a primeros auxilios y también una sala cuna cuando ocupen personal femenino, en número superior a 20.</t>
  </si>
  <si>
    <t>Artículo 4.14.12.</t>
  </si>
  <si>
    <t>Ley Nº 16.744 "Establece Normas sobre Accidentes del Trabajo y Enfermedades Profesionales"</t>
  </si>
  <si>
    <r>
      <rPr>
        <sz val="10"/>
        <rFont val="Calibri"/>
        <family val="2"/>
      </rPr>
      <t xml:space="preserve">Las empresas estarán obligadas a  </t>
    </r>
    <r>
      <rPr>
        <b/>
        <sz val="10"/>
        <rFont val="Calibri"/>
        <family val="2"/>
      </rPr>
      <t>mantener al día los reglamentos internos de higiene y seguridad en el trabajo y los trabajadores a cumplir con las exigencias de que dichos reglamentos les impongan.</t>
    </r>
    <r>
      <rPr>
        <sz val="10"/>
        <rFont val="Calibri"/>
        <family val="2"/>
      </rPr>
      <t xml:space="preserve"> Los reglamentos deberán consultar la aplicación de multas a los trabajadores que no utilicen los elementos de protección personal que se les haya proporcionado o que no cumplan las obligaciones que les impónganlas normas, reglamentaciones o instrucciones sobre higiene y seguridad en el trabajo.</t>
    </r>
  </si>
  <si>
    <t xml:space="preserve">Art. 67 </t>
  </si>
  <si>
    <t xml:space="preserve">Artículo 4°.- </t>
  </si>
  <si>
    <t xml:space="preserve">Artículo 5° </t>
  </si>
  <si>
    <t>Para los efectos de esta ley se entiende por accidente del trabajo toda lesión que una persona sufra a causa o con ocasión del trabajo, y que le produzca incapacidad o muerte. Son también accidentes del trabajo los ocurridos en el trayecto directo, de ida o regreso, entre la habitación y el lugar del trabajo, y aquéllos que ocurran en el trayecto directo entre dos lugares de trabajo, aunque correspondan a distintos empleadores. En este último caso, se considerará que el accidente dice relación con el trabajo al que se dirigía el trabajador al ocurrir el siniestro. Se considerarán también accidentes del trabajo los sufridos por dirigentes de instituciones sindicales a causa o con ocasión del desempeño de sus cometidos gremiales. Exceptúanse los accidentes debidos a fuerza mayor extraña que no tenga relación alguna con el trabajo y los producidos intencionalmente por la víctima. La prueba de las excepciones corresponderá al organismo administrador.</t>
  </si>
  <si>
    <t xml:space="preserve"> Es enfermedad profesional la causada de una manera directa por el ejercicio de la profesión o el trabajo que realice una persona y que le produzca incapacidad o muerte.</t>
  </si>
  <si>
    <t>Artículo 66°</t>
  </si>
  <si>
    <t>Las empresas o entidades deberán implantar todas las medidas de higiene y seguridad en el trabajo que les prescriban directamente el Servicio Nacional de Salud o, en su caso, el respectivo organismo administrador a que se encuentren afectas, el que deberá indicarlas de acuerdo con las normas y reglamentaciones vigentes. El i cumplimiento  de tales obligaciones será sancionado por el Servicio Nacional de Salud de acuerdo con el procedimiento de multas y sanciones previsto en el Código Sanitario, y en las demás disposiciones legales, sin perjuicio de que el organismo administrador respectivo aplique, además, un recargo en la cotización adicional, en conformidad a lo dispuesto en la presente ley. Asimismo, las empresas deberán proporcionar a sus trabajadores, los equipos e implementos de protección necesarios, no pudiendo en caso alguno cobrarles su valor. Si no dieren cumplimiento a esta obligación serán sancionados en la forma que preceptúa el inciso anterior. El Servicio Nacional de Salud queda facultado para clausurar las fábricas, talleres, minas o cualquier sitio de trabajo que signifique un riesgo inminente para la salud de los trabajadores o de la comunidad.</t>
  </si>
  <si>
    <t xml:space="preserve">Artículo 68°.- </t>
  </si>
  <si>
    <t>La afiliación de un trabajador, hecha en una Caja de Previsión para los demás efectos de seguridad social, se entenderá hecha, por el ministerio de la ley, para este seguro, salvo que la entidad empleadora para la cual trabaje se encuentre adherida a alguna Mutualidad. Respecto de los trabajadores de contratistas o subcontratistas, deberán observarse, además, las siguientes reglas:
El dueño de la obra, empresa o faena, será, subsidiariamente, responsable de las obligaciones que, en materia de afiliación y cotización, afecten a sus contratistas respecto de sus trabajadores. Igual responsabilidad afectará al contratista en relación con las obligaciones de sus subcontratistas.</t>
  </si>
  <si>
    <t xml:space="preserve"> En toda industria o faena en que trabajen más de 25 personas deberán funcionar uno o más Comités Paritarios de Higiene y Seguridad, que tendrán las siguientes funciones:
1.- Asesorar e instruir a los trabajadores para la correcta utilización de los instrumentos de protección; 
2.- Vigilar el cumplimiento, tanto por parte de las empresas como de los trabajadores, de las medidas de prevención, higiene y seguridad.
3.- Investigar las causas de los accidentes del trabajo y enfermedades profesionales, que se produzcan en la empresa y de cualquiera otra afección que afecte en forma reiterada o general a los trabajadores y sea presumible que tenga su origen en la utilización de productos fitosanitarios, químicos o nocivos para la salud;
4.- Indicar la adopción de todas las medidas de higiene y seguridad, que sirvan para la prevención de los riesgos profesionales;
5.- Cumplir las demás funciones o misiones que le encomiende el organismo administrador respectivo.
El representante o los representantes de los trabajadores serán designados por los propios trabajadores.
comerciales que ocupen a más de 100 trabajadores será obligatoria la existencia de un Departamento de Prevención de Riesgos Profesionales, el que será dirigido por un experto en prevención, el cual formará parte, por derecho propio, de los Comités Paritarios.
Las empresas estarán obligadas a adoptar y poner en práctica las medidas de prevención que les indique el Departamento de Prevención y/o el Comité Paritario; pero podrán apelar de tales resoluciones ante el respectivo organismo administrador, dentro del plazo de 30 días, desde que le sea notificada la resolución del Departamento de Prevención o del Comité Paritario de Higiene y Seguridad.
El i cumplimiento  de las medidas acordadas por el Departamento de Prevención o por el Comité Paritario, cuando hayan sido ratificadas por el respectivo organismo administrador, será sancionado en la forma que preceptúa el artículo 68°.</t>
  </si>
  <si>
    <t>Cuando, el accidente o enfermedad se deba a culpa o dolo de la entidad empleadora o de un tercero, sin perjuicio de las acciones criminales que procedan, deberán observarse las siguientes reglas:
a) El organismo administrador tendrá derecho a repetir en contra del responsable del accidente, por las prestaciones que haya otorgado o deba otorgar, y
b) La víctima y las demás personas a quienes el accidente o enfermedad cause daño podrán reclamar al empleador o terceros responsables del accidente, también las otras indemnizaciones a que tengan derecho, con arreglo a las prescripciones del derecho común, incluso el daño moral.</t>
  </si>
  <si>
    <t xml:space="preserve">Artículo 69°.- </t>
  </si>
  <si>
    <t xml:space="preserve"> Si el accidente o enfermedad ocurre debido a negligencia inexcusable de un trabajador se le deberá aplicar una multa, de acuerdo con lo preceptuado en el artículo 68°, aún en el caso de que él mismo hubiere sido víctima del accidente.
Corresponderá al Comité Paritario de Higiene y Seguridad decidir si medió negligencia inexcusable.</t>
  </si>
  <si>
    <t>Artículo 70°.-</t>
  </si>
  <si>
    <t xml:space="preserve"> Los afiliados afectados de alguna enfermedad profesional deberán ser trasladados, por la empresa donde presten sus servicios, a otras faenas donde no estén expuestos al agente causante de la enfermedad.
Los trabajadores que sean citados para exámenes de control por los servicios médicos de los organismos administradores, deberán ser autorizados por su empleador para su asistencia, y el tiempo que en ello utilicen será considerado como trabajado para todos los efectos legales.
Las empresas que exploten faenas en que trabajadores suyos puedan estar expuestos al riesgo de neumoconiosis, deberán realizar un control radiográfico semestral de tales trabajadores.</t>
  </si>
  <si>
    <t>Artículo 71°.-</t>
  </si>
  <si>
    <t>Artículo 76°</t>
  </si>
  <si>
    <t xml:space="preserve"> La entidad empleadora deberá denunciar al organismo administrador respectivo, inmediatamente de producido, todo accidente o enfermedad que pueda ocasionar incapacidad para el trabajo o la muerte de la víctima. El accidentado o enfermo, o sus derecho-habientes, o el médico que trató o diagnosticó la lesión o enfermedad, como igualmente el Comité Paritario de Seguridad, tendrán también, la obligación de denunciar el hecho en dicho organismo administrador, en el caso de que la entidad empleadora no hubiere realizado la denuncia.
Las denuncias mencionadas en el inciso anterior deberán contener todos los datos que hayan sido indicados por el Servicio Nacional de Salud.
Los organismos administradores deberán informar al Servicio Nacional de Salud los accidentes o enfermedades que les hubieren sido denunciados y que hubieren ocasionado incapacidad para el trabajo o la muerte de la víctima, en la forma y con la periodicidad que señale el reglamento.
Sin perjuicio de lo dispuesto en los incisos precedentes, en caso de accidentes del trabajo fatales y graves, el empleador deberá informar inmediatamente a la Inspección del Trabajo y a la Secretaría Regional Ministerial de Salud que corresponda, acerca de la ocurrencia de cualquiera de estos hechos. Corresponderá a la Superintendencia de Seguridad Social impartir las instrucciones sobre la forma en que deberá cumplirse esta obligación.
En estos mismos casos el empleador deberá suspender de forma inmediata las faenas afectadas y, de ser necesario, permitir a los trabajadores la evacuación del lugar de trabajo. La reanudación de faenas sólo podrá efectuarse cuando, previa fiscalización del organismo fiscalizador, se verifique que se han subsanado las deficiencias constatadas.
Las infracciones a lo dispuesto en los incisos cuarto y quinto, serán sancionadas con multa a beneficio fiscal de cincuenta a ciento cincuenta unidades tributarias mensuales, las que serán aplicadas por los servicios fiscalizadores a que se refiere el inciso cuarto.</t>
  </si>
  <si>
    <t xml:space="preserve"> El trabajador afectado por el rechazo de una licencia o de un reposo médico por parte de los organismos de los Servicios de Salud, de las Instituciones de Salud Previsional o de las Mutualidades de Empleadores, basado en que la afección invocada tiene o no tiene origen profesional, según el caso, deberá concurrir ante el organismo de régimen previsional a que esté afiliado, que no sea el que rechazó la licencia o el reposo médico, el cual estará obligado a cursarla de inmediato y a otorgar las prestaciones médicas o pecuniarias que correspondan, sin perjuicio de los reclamos posteriores y reembolsos, si procedieren, que establece este artículo.
En la situación prevista en el inciso anterior, cualquier persona o entidad interesada podrá reclamar
directamente en la Superintendencia de Seguridad Social por el rechazo de la licencia o del reposo médico, debiendo ésta resolver, con competencia exclusiva y sin ulterior recurso, sobre el carácter de la afección que dio origen a ella, en el plazo de treinta días contado desde la recepción de los antecedentes que se requieran o desde la fecha en que el trabajador afectado se hubiere sometido a los exámenes que disponga dicho Organismo, si éstos fueren posteriores.</t>
  </si>
  <si>
    <t>Artículo 77 bis.-</t>
  </si>
  <si>
    <t xml:space="preserve"> Las acciones para reclamar las prestaciones por accidentes del trabajo o enfermedades profesionales prescribirán en el término de cinco años contado desde la fecha del accidente o desde el diagnóstico de la enfermedad. En el caso de la neumoconiosis el plazo de prescripción será de quince años, contado desde que fue diagnosticada.
Esta prescripción no correrá contra los menores de 16 años.</t>
  </si>
  <si>
    <t>Artículo 79°.-</t>
  </si>
  <si>
    <r>
      <t xml:space="preserve"> </t>
    </r>
    <r>
      <rPr>
        <sz val="10"/>
        <rFont val="Calibri"/>
        <family val="2"/>
      </rPr>
      <t>Los residuos peligrosos deberan identificarse y etiquetarse de acuerdo a la clasificacion y tipo de riesgo que establece la NCH 2190 OF 93. Esta obligación será  exigible desde que tales residuos se almacenen y hasta su eliminacion</t>
    </r>
  </si>
  <si>
    <t>Art 4</t>
  </si>
  <si>
    <t>Durante el manejo de los residuos peligrosos se deberan tomar todas las precauciones necesarias para prevenir su inflamación o reacción entre ellas su separación y protección frente a cualquier fuente de riesgo capaz de provocar tales efectos</t>
  </si>
  <si>
    <t>Art 8</t>
  </si>
  <si>
    <t>Art 15</t>
  </si>
  <si>
    <t xml:space="preserve">DS 148 APRUEBA REGLAMENTO SANITARIO SOBRE MANEJO DE RESIDUOS PELIGROSOS </t>
  </si>
  <si>
    <t xml:space="preserve"> Los residuos incluidos en los siguientes listados de categorías se considerarán peligrosos a menos que su generador pueda demostrar ante la Autoridad Sanitaria que no presentan ninguna característica de peligrosidad. El generador podrá proponer a la Autoridad Sanitaria los análisis de caracterización de peligrosidad a realizar sobre la base del conocimiento de sus residuos y de los procesos que los generan, sin perjuicio de lo cual, la Autoridad Sanitaria podrá exigir análisis adicionales a los propuestos conforme a lo señalado en los artículos 12 al 17.</t>
  </si>
  <si>
    <t>Artículo 18</t>
  </si>
  <si>
    <t>Toda instalación, equipo o contenedor, o cualquiera de sus partes, que haya estado en contacto directo con residuos peligrosos, deberá ser manejado como tal y no podrá ser destinado a otro uso sin que haya sido previamente descontaminado.</t>
  </si>
  <si>
    <t xml:space="preserve">Artículo 21 </t>
  </si>
  <si>
    <t>Las sustancias químicas incluidas en los Artículos 88 y 89 del presente Reglamento, serán consideradas residuos peligrosos cuando sean descartadas, se encuentren vencidas o fuera de especificación o se encuentren como remanentes en envases y recipientes. Lo mismo procederá respecto de los derrames de cualquiera de dichas sustancias químicas y los materiales contaminados con ellas que deban desecharse.</t>
  </si>
  <si>
    <t xml:space="preserve">Artículo 22 </t>
  </si>
  <si>
    <t xml:space="preserve"> Las instalaciones, establecimientos o actividades que anualmente den origen a más de 12 kilogramos de residuos tóxicos agudos o a más de 12 toneladas de residuos peligrosos que presenten cualquier otra característica de peligrosidad deberán contar con un Plan de Manejo de Residuos Peligrosos presentado ante la Autoridad Sanitaria.</t>
  </si>
  <si>
    <t>Artículo 25</t>
  </si>
  <si>
    <t>Artículo 29</t>
  </si>
  <si>
    <t>Todo sitio destinado al almacenamiento de residuos peligrosos deberá contar con la correspondiente autorización sanitaria de instalación, a menos que éste se encuentre incluido en la autorización sanitaria de la actividad principal.
El diseño, la construcción, ampliación y/o modificación de todo sitio que implique almacenamiento de dos o más residuos peligrosos incompatibles o que contemple el almacenamiento de 12 o más kilogramos de residuos tóxicos agudos o 12 o más toneladas de residuos peligrosos que presenten cualquier otra característica de peligrosidad, deberá contar con un proyecto previamente aprobado por la Autoridad Sanitaria. Este proyecto de ingeniería deberá ser elaborado por un profesional idóneo.</t>
  </si>
  <si>
    <t xml:space="preserve"> El período de almacenamiento de los residuos peligrosos no podrá exceder de 6 meses. Sin embargo, en casos justificados, se podrá solicitar a la Autoridad Sanitaria, una extensión de dicho período hasta por un lapso igual, para lo cual se deberá presentar un informe técnico.</t>
  </si>
  <si>
    <t>Artículo 31</t>
  </si>
  <si>
    <t>En caso de inexistencia de una Instalación de Eliminación, imposibilidad de acceso a ella u otros casos calificados, la Autoridad Sanitaria podrá autorizar el almacenamiento de residuos peligrosos por períodos prolongados determinados superiores a los establecidos en el artículo precedente. En este caso, el almacenamiento será considerado una Instalación de Eliminación de Residuos Peligrosos y se ajustará en todo a las normas establecidas en el Párrafo I del Título VI del presente Reglamento, sin perjuicio de la aplicación de las disposiciones especiales de este párrafo. Estas Instalaciones sólo podrán almacenar los residuos expresamente autorizados por la Autoridad Sanitaria, la que igualmente deberá autorizar el retiro total o parcial de éstos.</t>
  </si>
  <si>
    <t xml:space="preserve">Artículo 32 </t>
  </si>
  <si>
    <t xml:space="preserve">Los sitios donde se almacenen residuos peligrosos deberán cumplir las siguientes condiciones: 
a)   Tener una base continua, impermeable y resistente estructural y químicamente a los residuos. 
b)   Contar con un cierre perimetral de a lo menos 1,80 metros de altura que impida el libre acceso de personas y animales. 
c)   Estar techados y protegidos de condiciones ambientales tales como humedad, temperatura y radiación solar. 
d)   Garantizar que se minimizará la volatilización, el arrastre o la lixiviación y en general cualquier otro mecanismo de contaminación del medio ambiente que pueda afectar a la población. 
e)   Tener una capacidad de retención de escurrimientos o derrames no inferior al volumen del contenedor de mayor capacidad ni al 20% del volumen total de los contenedores almacenados. 
f)   Contar con señalización de acuerdo a la Norma Chilena NCh 2.190 Of 93     
Excepcionalmente se podrán autorizar sitios de almacenamiento que no cumplan con alguna de estas condiciones, tales como piscinas, lagunas artificiales u otros, si se justifica técnicamente que su diseño protege de la misma forma la salud de la población.  </t>
  </si>
  <si>
    <t xml:space="preserve"> El sitio de almacenamiento de residuos reactivos o inflamables, deberá estar a 15 metros, a lo menos, de los deslindes de la propiedad.</t>
  </si>
  <si>
    <t>Artículo 35</t>
  </si>
  <si>
    <t xml:space="preserve">     </t>
  </si>
  <si>
    <t xml:space="preserve"> Los tenedores de residuos peligrosos quedan sujetos a un Sistema de Declaración y Seguimiento de tales residuos, válido para todo el país, que tiene por objeto permitir a la autoridad sanitaria disponer de información completa, actual y oportuna sobre la tenencia de tales residuos desde el momento que salen del establecimiento de generación hasta su recepción en una instalación de eliminación. Corresponderá a la Autoridad Sanitaria, en su respectivo territorio, implementar el sistema referido ajustándose a las normas del presente título y a las instrucciones que imparta el Ministerio de Salud.</t>
  </si>
  <si>
    <t>Artículo 80</t>
  </si>
  <si>
    <t>Artículo 81</t>
  </si>
  <si>
    <t>Artículo 24</t>
  </si>
  <si>
    <t>Articulo 24</t>
  </si>
  <si>
    <r>
      <t xml:space="preserve"> </t>
    </r>
    <r>
      <rPr>
        <sz val="10"/>
        <rFont val="Calibri"/>
        <family val="2"/>
      </rPr>
      <t xml:space="preserve">Los conductores de vehículos motorizados o a tracción animal, salvo la excepción del artículo anterior, deberán llevar consigo su licencia, permiso o boleta de citación y, requeridos por la autoridad competente, acreditar su identidad y entregar los documentos que los habilitan para conducir.Asimismo, tratándose de vehículos motorizados, deberán portar y entregar el certificado vigente de póliza de un seguro obligatorio de accidentes, el que deberá ser devuelto, siempre y en el acto, al conductor. </t>
    </r>
  </si>
  <si>
    <t>Art. 6</t>
  </si>
  <si>
    <t xml:space="preserve"> Los vehículos deberán reunir las características técnicas de construcción, dimensiones y condiciones de seguridad, comodidad, presentación y mantenimiento que establezca el Ministerio de Transportes y Telecomunicaciones, y no podrán exceder los pesos máximos permitidos por el Ministerio de Obras Públicas.</t>
  </si>
  <si>
    <t xml:space="preserve"> La carga no podrá exceder los pesos máximos que las características técnicas del vehículo permitan, y deberá estar estibada y asegurada de manera que evite todo riesgo de caída desde el vehículo. </t>
  </si>
  <si>
    <t xml:space="preserve"> Los vehículos deberán contar con el o los sistemas de freno, luces y elementos retroreflectantes que determine el reglamento.
</t>
  </si>
  <si>
    <t xml:space="preserve"> Los conductores tienen derecho a transitar en sus vehículos por las vías públicas, salvo las excepciones que establece esta ley y las medidas que, en contrario y en casos especiales, adopte la autoridad competente.</t>
  </si>
  <si>
    <t xml:space="preserve"> Ninguna persona podrá conducir un vehículo cuando se encuentre en condiciones físicas o síquicas deficientes.</t>
  </si>
  <si>
    <t>En las vías de tránsito restringido, la circulación de vehículos y de peatones se hará como lo determine la autoridad y se podrá entrar o salir de ellas solamente por los lugares y en las condiciones que la Dirección de Vialidad o las Municipalidades, en su caso, establezcan mediante la señalización correspondiente.</t>
  </si>
  <si>
    <t xml:space="preserve"> Ninguna persona podrá conducir un vehículo a una velocidad mayor de la que sea razonable y prudente, bajo las condiciones existentes, debiendo considerar los riesgos y peligros presentes y los posibles.</t>
  </si>
  <si>
    <t>Toda persona que conduzca un vehículo en forma de hacer peligrar la seguridad de los demás, sin consideración de los derechos de éstos o infringiendo las reglas de circulación o de seguridad establecidas en esta ley, serán responsables de los perjuicios que de ello provengan.</t>
  </si>
  <si>
    <t>Salvo prueba en contrario, las infracciones que se deriven del mal estado y condiciones del vehículo serán imputables a su propietario, sin perjuicio de las responsabilidad que corresponde al conductor.</t>
  </si>
  <si>
    <t xml:space="preserve"> De las infracciones a los preceptos del tránsito será responsable el conductor del vehículo.</t>
  </si>
  <si>
    <t xml:space="preserve">1.1 </t>
  </si>
  <si>
    <t>Artículo 1.-</t>
  </si>
  <si>
    <t>Artículo 3</t>
  </si>
  <si>
    <t xml:space="preserve">TODOS </t>
  </si>
  <si>
    <t>Art 1º</t>
  </si>
  <si>
    <t xml:space="preserve"> Sin perjuicio de las obligaciones establecidas en los artículos 184 del Código del Trabajo y 67 de la ley Nº 16.744, los empleadores deberán adoptar las medidas necesarias para proteger eficazmente a los trabajadores cuando puedan estar expuestos a radiación ultravioleta. Para estos efectos, los contratos de trabajo o reglamentos internos de las empresas, según el caso, deberán especificar el uso de los elementos protectores correspondientes, de conformidad con las disposiciones del Reglamento sobre Condiciones Sanitarias y Ambientales Básicas en los
lugares de Trabajo.</t>
  </si>
  <si>
    <t>Artículo 19.-</t>
  </si>
  <si>
    <t>--</t>
  </si>
  <si>
    <t>Art Nº 1 y 2</t>
  </si>
  <si>
    <t>TODOS</t>
  </si>
  <si>
    <t>Ley 18490
ESTABLECE SEGURO OBLIGATORIO DE ACCIDENTES PERSONALES
CAUSADOS POR CIRCULACION DE VEHICULOS MOTORIZADOS</t>
  </si>
  <si>
    <t>TITULO I
Del Seguro de Accidentes Personales.
 El seguro obligatorio de accidentes personales cubre los riesgos de muerte y lesiones corporales que sufran las personas como consecuencia de accidentes en que intervengan el vehículo asegurado, sus remolques o sus cargas.
Este seguro cubrirá tanto al conductor del vehículo como a las personas que estén siendo transportadas en él y cualesquier tercero afectado.
Para los efectos de esta ley, se considerará igualmente que son terceros afectados, las personas transportadas en un vehículo no asegurado que hubiera intervenido en un accidente con algún vehículo asegurado, con excepción del propietario del vehículo no asegurado.</t>
  </si>
  <si>
    <t>Todo vehículo motorizado que para transitar por las vías públicas del territorio nacional requiera de un permiso de circulación, deberá estar asegurado contra el riesgo de accidentes personales a que se refiere esta ley. Además, si el vehículo no contare con un seguro por los daños personales y materiales causados con ocasión de un accidente de tránsito, el vehículo conducido quedará gravado con prenda sin desplazamiento y será puesto a disposición del tribunal respectivo, de forma de responder por las indemnizaciones contempladas en esta ley.</t>
  </si>
  <si>
    <t xml:space="preserve"> Los estudiantes que tengan la calidad de alumnos regulares de establecimientos fiscales o particulares, del nivel de transición de la educación parvularia, de enseñanza básica, media normal, técnica, agrícola, comercial, industrial, de institutos profesionales, de centros de formación técnica y universitaria, dependientes del Estado o reconocidos por éste, quedarán sujetos al seguro escolar contemplado en el artículo 3º de la ley Nº 16.744 por los accidentes que sufran durante sus estudios, o en la realización de su práctica educacional o profesional, en las condiciones y con las modalidades que se establecen en el presente decreto.
Se exceptúan los estudiantes a que se refiere la letra c) del artículo 2º de la ley Nº 16.744, los que continuarán regidos por las disposiciones del decreto Nº 102, de 1969, dictado a través de la Subsecretaría de Previsión Social del Ministerio del Trabajo y Previsión Social, publicado en el Diario Oficial de 25 de Agosto de 1969.
Los accidentes que sufran los estudiantes que tengan al mismo tiempo la calidad de trabajadores por cuenta ajena, se considerarán como accidentes del trabajo, siendo de cargo del organismo administrador al que se encuentre afiliado en esta última calidad las prestaciones que contempla la ley Nº 16.744, que serán incompatibles con las que establece el presente decreto, sin perjuicio del beneficio establecido en el artículo 9º. Lo dicho en este inciso no se aplicará en el caso que la pensión que correspondiere en calidad de trabajador fuere inferior a la que señala el presente decreto para el estudiante.</t>
  </si>
  <si>
    <t>DFL 725 CODIGO SANITARIO</t>
  </si>
  <si>
    <t>Prohíbese descargar las aguas servidas y los residuos industriales o mineros en ríos o lagunas, o en cualquiera otra fuente o masa de agua que sirva para proporcionar agua potable a alguna población, para riego o para balneario, sin que antes se proceda a su depuración en la forma que se señale en los reglamentos.</t>
  </si>
  <si>
    <t>MODIFICA DECRETO Nº 609, DE 1998, QUE ESTABLECE NORMA DE EMISION PARA LA REGULACION DE CONTAMINANTES ASOCIADOS A LAS DESCARGAS DE RESIDUOS INDUSTRIALES LIQUIDOS A SISTEMAS DE ALCANTARILLADO</t>
  </si>
  <si>
    <t>Modifícase el decreto supremo Nº 609, de fecha 7 de mayo de 1998, del Ministerio de Obras Públicas, que Establece Norma de Emisión para la Regulación de Contaminantes Asociados a las Descargas de Residuos Industriales Líquidos a Sistemas de Alcantarillado, en la siguiente forma:</t>
  </si>
  <si>
    <t>NORMA TÉCNICA DE IDENTIFICACIÓN Y EVALUACIÓN DE FACTORES DE RIESGO DE TRASTORNOS MUSCULOESQUELÉTICOS RELACIONADOS AL TRABAJO (TMERT)</t>
  </si>
  <si>
    <t>PROMULGA PROTOCOLO DE MONTREAL RELATIVO A LAS SUSTANCIAS AGOTADORAS DE LA CAPA DE OZONO  DE 16 DE SEPTIEMBRE DE 1987</t>
  </si>
  <si>
    <t>ESTABLECE NORMAS DE EMISION APLICABLES A VEHICULOS MOTORIZADOS PESADOS QUE INDICA</t>
  </si>
  <si>
    <t>MODIFICA LA LEY Nº 19.039  SOBRE PROPIEDAD INDUSTRIAL</t>
  </si>
  <si>
    <t>PROMULGA EL CONVENIO DE VIENA PARA LA PROTECCION DE LA CAPA DE OZONO Y SUS ANEXOS I Y II</t>
  </si>
  <si>
    <t xml:space="preserve">completo digital </t>
  </si>
  <si>
    <t xml:space="preserve">todos </t>
  </si>
  <si>
    <t>todos</t>
  </si>
  <si>
    <t xml:space="preserve">Completo digital </t>
  </si>
  <si>
    <t>SI</t>
  </si>
  <si>
    <t>Cerrado</t>
  </si>
  <si>
    <t>SUSESO</t>
  </si>
  <si>
    <t>certificados de calidad EPP</t>
  </si>
  <si>
    <t xml:space="preserve">Revision tecnica al dia </t>
  </si>
  <si>
    <t xml:space="preserve">Permiso de circulación al dia </t>
  </si>
  <si>
    <t>ODI</t>
  </si>
  <si>
    <t>contrato de trabajo (codigo penal)</t>
  </si>
  <si>
    <t>RIOSH, titulo vigesimo; Investigacion, medidas de resguardo y sanciones del acoso sexual.</t>
  </si>
  <si>
    <t xml:space="preserve">pago de patente </t>
  </si>
  <si>
    <t>Soap , Permiso circulacion al Dia</t>
  </si>
  <si>
    <t>Registro o Forma de Evidenciar el  Cumplimiento</t>
  </si>
  <si>
    <t>DS 1 APRUEBA REGLAMENTO DEL REGISTRO DE EMISIONES Y TRANSFERENCIAS DE CONTAMINANTES, RETC</t>
  </si>
  <si>
    <t>Generador de Residuos. Los establecimientos que generen anualmente más de 12 toneladas de residuos no sometidos a reglamentos específicos, estarán obligados a declarar al 30 de marzo de cada año sus residuos generados el año anterior, a través del Sistema de Ventanilla Única del Registro de Emisiones y Transferencias de Contaminantes (RETC). Lo anterior, sin perjuicio de las obligaciones emanadas de los DS Nº 148 de 2003, y DS Nº 6 de 2009, ambos del Ministerio de Salud, así como del DS Nº 4 de 2009, del Ministerio Secretaría General de la Presidencia, en relación a lo dispuesto al artículo 18 letra d) del presente reglamento.</t>
  </si>
  <si>
    <t xml:space="preserve"> Artículo 17.- </t>
  </si>
  <si>
    <t>Artículo 18.-</t>
  </si>
  <si>
    <t xml:space="preserve"> Reportes Voluntarios. Los establecimientos podrán acordar con el Ministerio reportar voluntariamente emisiones, residuos y/o transferencias de contaminantes, respecto de los cuales no tengan la obligación de reportar, pero que se encuentren regulados en nuestro país por normativa de carácter nacional o internacional.
     El reporte voluntario deberá al menos contemplar los siguientes aspectos:
a)   La metodología utilizada para medir o estimar la emisión o cuantificar los residuos.
b)   La periodicidad de reporte, que no podrá ser inferior a una vez al año.
c)   El plazo de duración de reporte voluntario, que no podrá ser inferior a 2 años.
d)   El método de validación del dato.
     La información obtenida de los reportes voluntarios se validará por el Ministerio y se publicará en forma nominada.
     El Ministerio podrá retirar del registro los reportes voluntarios que no cumplan con las exigencias señaladas en este artículo.</t>
  </si>
  <si>
    <t>Artículo 8 Los contenedores de residuos peligrosos deberán cumplir con los siguientes requisitos:
a)   tener un espesor adecuado y estar construidos con materiales que sean resistentes al residuo almacenado y a prueba de filtraciones,
b)   estar diseñados para ser capaces de resistir los esfuerzos producidos durante su manipulación, así como durante la carga y descarga y el traslado de los residuos, garantizando en todo momento que no serán derramados,
c)   estar en todo momento en buenas condiciones, debiéndose reemplazar todos aquellos contenedores que muestren deterioro de su capacidad de contención,
d)   estar rotulados indicando, en forma claramente visible, las características de peligrosidad del residuo contenido de acuerdo a la Norma Chilena NCh 2.190 Of 93, el proceso en que se originó el residuo, el código de identificación y la fecha de su ubicación en el sitio de almacenamiento.
     Los contenedores sólo podrán ser movidos manualmente si su peso total incluido el contenido, no excede de 30 kilogramos. Si dicho peso fuere superior, se deberán mover con equipamiento mecánico.
     Sólo se podrán reutilizar contenedores cuando no se trate de residuos incompatibles, a menos que hayan sido previamente descontaminados.</t>
  </si>
  <si>
    <t xml:space="preserve">Artículo 5°.- </t>
  </si>
  <si>
    <t>Toda instalación de almacenamiento de sustancias peligrosas sobre 10 toneladas (t) de sustancias inflamables o 30 t de otras clases de sustancias peligrosas requerirá de Autorización Sanitaria para su funcionamiento. En el caso que en una misma planta exista más de una instalación de almacenamiento, el interesado podrá solicitar una autorización por cada una de ellas u optar por una autorización general que incluya todas las instalaciones.
 Para el almacenamiento de gases en cilindros, se deberá solicitar autorización sanitaria si el área de almacenamiento real es superior a 30 m2 (cilindros llenos), excluyendo pasillos.
 Para determinar si se debe contar con una instalación de almacenamiento de sustancias peligrosas y su respectiva autorización, en el caso de sustancias en envases, contenedores o cilindros, se deberán sumar todas las sustancias peligrosas que existan en la planta o empresa.
 Sin perjuicio de lo anterior, en caso que la sumatoria de las sustancias peligrosas supere las cantidades indicadas, pero que por razones debidamente fundadas éstas deban mantenerse en lugares distintos dentro del predio, la autoridad sanitaria determinará si corresponde eximirse de contar con esa instalación y su respectiva autorización, previa solicitud del interesado.
 En el caso de almacenamiento en estanques fijos, se deberá solicitar autorización cuando el volumen del estanque sea igual o superior a 15 m3 o cuando sea igual o se supere este valor en el caso de varios estanques ubicados a una distancia igual o inferior a 5 m entre ellos.
 Para el caso de patios de almacenamiento de contenedores o isotanques, se deberá solicitar autorización sanitaria, cuando se almacenen más de 1 unidad.
 No obstante lo anterior, si el interesado lo solicita, la Autoridad Sanitaria podrá otorgar autorización sanitaria a aquellas instalaciones que almacenen menores cantidades a las indicadas en este artículo.
 Para obtener la referida autorización el interesado deberá adjuntar los siguientes antecedentes a la Secretaría Regional Ministerial de Salud competente del lugar en que la instalación esté ubicada:
      - Identificación completa del interesado y de su representante legal en su caso.
     - Ubicación de la instalación de almacenamiento: calle, número, comuna, ciudad, región.
     - Especificaciones técnicas de las características constructivas de la instalación de almacenamiento, la cual debe ser elaborada por un profesional idóneo, indicando su nombre, RUT, título profesional, universidad que lo otorgó, fecha de titulación y firma del profesional responsable.
     - Memoria técnica de los sistemas de extinción de incendios, cuando proceda.
     - Plan de Emergencias, según lo estipulado en el Título XIV de este reglamento.
     - Clase de las sustancias, según la clasificación de la NCh 382:2013, que se almacenarán en la instalación, sus cantidades y capacidad máxima de almacenamiento.
     - Memoria técnica de ventilación, en caso de bodegas.
     - Procedimiento por escrito de operación de la instalación de almacenamiento.
     - Análisis de riesgos según lo indicado en artículo 45.
 Una vez obtenida la autorización, el interesado ingresará y mantendrá actualizados los datos de su instalación y las sustancias peligrosas almacenadas, declarándolos dos veces al año, con fechas límites el 20 de junio y 20 de diciembre, para cada periodo respectivamente, vía electrónica en el sistema que el Ministerio de Salud establezca mediante resolución.
 Cualquier modificación en la instalación de almacenamiento autorizada, debe ser comunicada a la Secretaría Regional Ministerial de Salud correspondiente, donde se determinará si corresponde otorgar una nueva autorización.</t>
  </si>
  <si>
    <t xml:space="preserve">Mensual </t>
  </si>
  <si>
    <t xml:space="preserve">Anual </t>
  </si>
  <si>
    <t xml:space="preserve">Cada vez que se produzca un accidente </t>
  </si>
  <si>
    <t xml:space="preserve">Cada vez que se genere un accidente </t>
  </si>
  <si>
    <t xml:space="preserve">Rotulado de residuos peligrosos </t>
  </si>
  <si>
    <t>Cada 5 meses desde la fecha de ingreso del primer residuo rotulado</t>
  </si>
  <si>
    <t xml:space="preserve">Cada vez que se generen residuos peligrosos </t>
  </si>
  <si>
    <t xml:space="preserve">En proceso de validacion por Seremi Salud </t>
  </si>
  <si>
    <t xml:space="preserve"> El sitio de almacenamiento debera tener acceso restingido,en terminos que solo podra ingresar personal debidamente autorizado por el responsable de la instalacion</t>
  </si>
  <si>
    <t>Cada vez que ocurra</t>
  </si>
  <si>
    <t>Art 9</t>
  </si>
  <si>
    <t>Sólo se podrán mezclar o poner en contacto entre sí residuos peligrosos cuando sean de naturaleza similar o compatible. Para estos efectos la “Tabla de Incompatibilidades” del artículo 87 tendrá carácter referencial. Con todo, en los procesos de eliminación podrán mezclarse residuos de los grupos A y B de dicha Tabla, cuando se demuestre que los efectos de la reacción que ellos generan se encuentran bajo control.</t>
  </si>
  <si>
    <t xml:space="preserve">Cada 5 meses/ o autorizacion SEREMI en caso de no contar con la cantidad sufiente de retiro </t>
  </si>
  <si>
    <t>Art 19</t>
  </si>
  <si>
    <t>Los residuos incluidos en la Lista A del artículo 90 se considerarán igualmente peligrosos. No obstante el generador podrá demostrar ante la Autoridad Sanitaria, conforme a lo establecido en los artículos 12 al 17 del presente reglamento, que tales residuos no son peligrosos. A la inversa, se considerará que los residuos incluidos en la Lista B del artículo 90 no son peligrosos. La Autoridad Sanitaria tendrá siempre la facultad de comprobar que un residuo cualquiera es peligroso por presentar alguna característica de peligrosidad conforme a lo establecido en los artículos 12 al 17.</t>
  </si>
  <si>
    <t xml:space="preserve">EVALUACION DEL CUMPLIMIENTO </t>
  </si>
  <si>
    <t xml:space="preserve">EVALUACION DEL CUMPLIEMTNO </t>
  </si>
  <si>
    <t xml:space="preserve">Mecanismo de Evaluación </t>
  </si>
  <si>
    <t xml:space="preserve">REVISION DOCUMENTACION </t>
  </si>
  <si>
    <t xml:space="preserve">anual </t>
  </si>
  <si>
    <t xml:space="preserve">semestral </t>
  </si>
  <si>
    <t xml:space="preserve">anual/ cada vez que se requiera </t>
  </si>
  <si>
    <t>anual</t>
  </si>
  <si>
    <t xml:space="preserve">boleta de agua </t>
  </si>
  <si>
    <t>entrega EPP</t>
  </si>
  <si>
    <t xml:space="preserve">Cada vez que se genere contrato que implique manejo de maquinarias de estas caracteristicas </t>
  </si>
  <si>
    <r>
      <t xml:space="preserve">El control de los productos combustibles deberá incluir medidas tales </t>
    </r>
    <r>
      <rPr>
        <sz val="10"/>
        <rFont val="Calibri"/>
        <family val="2"/>
      </rPr>
      <t>como programas de orden y limpieza y racionalización de la cantidad de materiales combustibles, tanto almacenados como en proceso.</t>
    </r>
  </si>
  <si>
    <r>
      <t xml:space="preserve">En áreas donde exista una gran cantidad de productos combustibles o donde se almacenen, trasvasijen o procesen sustancias inflamables o de fácil combustión, deberá establecerse </t>
    </r>
    <r>
      <rPr>
        <sz val="10"/>
        <rFont val="Calibri"/>
        <family val="2"/>
      </rPr>
      <t xml:space="preserve">una estricta prohibición de fumar o encender fuegos, debiendo existir procedimientos específicos  de seguridad para la realización de labores de soldadura, corte de metales o similares.      </t>
    </r>
  </si>
  <si>
    <t xml:space="preserve">Hoja de capacitaciones Mutual </t>
  </si>
  <si>
    <t xml:space="preserve">Acta entrega de EPP/  Registro capacitación </t>
  </si>
  <si>
    <t xml:space="preserve">contrato Control de plagas </t>
  </si>
  <si>
    <t xml:space="preserve">cada vez que se requiera </t>
  </si>
  <si>
    <t>Capacitacion de conduccion a la defensiva</t>
  </si>
  <si>
    <t xml:space="preserve">semestrales </t>
  </si>
  <si>
    <t xml:space="preserve">Nueva contratación </t>
  </si>
  <si>
    <t xml:space="preserve">cada vez que sucede </t>
  </si>
  <si>
    <t>Anual</t>
  </si>
  <si>
    <t>.</t>
  </si>
  <si>
    <t xml:space="preserve">nuevo contrato trabajador </t>
  </si>
  <si>
    <t xml:space="preserve">cada vez que se solicita permiso parental </t>
  </si>
  <si>
    <t>La construcción, reconstrucción, reparación, alteración, ampliación y demolición de edificios y obras de urbanización de cualquier naturaleza, sean urbanas o rurales, requerirán permiso de la Dirección de Obras Municipales, a petición del propietario, con las excepciones que señale la Ordenanza General.</t>
  </si>
  <si>
    <t xml:space="preserve"> contrato de trabajo </t>
  </si>
  <si>
    <t xml:space="preserve">mensual / semestral </t>
  </si>
  <si>
    <t xml:space="preserve">En eventual contratacion de alumno en practica </t>
  </si>
  <si>
    <t xml:space="preserve">Digital Completo </t>
  </si>
  <si>
    <t xml:space="preserve">Reglamento interno </t>
  </si>
  <si>
    <t xml:space="preserve"> Reglamento interno y Contrato de Trabajo.</t>
  </si>
  <si>
    <t>carpeta personal RRHH</t>
  </si>
  <si>
    <t>INSPECCION</t>
  </si>
  <si>
    <t xml:space="preserve">EVALUACIONES </t>
  </si>
  <si>
    <t>cada 5 meses / pedir autorizacion adicional / retiro anual ( dependiendo el caso )</t>
  </si>
  <si>
    <t xml:space="preserve">revision de los indicadores </t>
  </si>
  <si>
    <t xml:space="preserve">Cada vez se genera una nueva incorporacion </t>
  </si>
  <si>
    <t>Cada vez se genera una nueva incorporacion</t>
  </si>
  <si>
    <t>Contrato de Trabajo, Entrega de RIOHS, Pago previsionales</t>
  </si>
  <si>
    <t xml:space="preserve">Reglamento Interno </t>
  </si>
  <si>
    <t>Semestral</t>
  </si>
  <si>
    <t>Ley 20949 MODIFICA EL CÓDIGO DEL TRABAJO PARA REDUCIR EL PESO DE LAS CARGAS DE MANIPULACIÓN MANUAL</t>
  </si>
  <si>
    <t>Decreto 63 APRUEBA REGLAMENTO PARA LA APLICACION DE LA LEY Nº 20.001, QUE REGULA EL PESO MAXIMO DE CARGA HUMANA</t>
  </si>
  <si>
    <t>Todos</t>
  </si>
  <si>
    <t>Completo Digital</t>
  </si>
  <si>
    <t>MATRIZ IDENTIFICACION Y EVALUACION DE REQUISITOS LEGALES</t>
  </si>
  <si>
    <t>Programa Radiacion UV</t>
  </si>
  <si>
    <t xml:space="preserve">bianual </t>
  </si>
  <si>
    <t>Patente Comercial</t>
  </si>
  <si>
    <t>cada vez que se ocupe por salidas a terreno</t>
  </si>
  <si>
    <t>cada vez</t>
  </si>
  <si>
    <t>Contrato Empresa Control de plagas y resolución sanitaria</t>
  </si>
  <si>
    <t>Cuando por la naturaleza o modalidad del trabajo que se realiza, los trabajadores se vean precisados a consumir alimentos en el sitio de trabajo, se dispondrá de un comedor para este propósito, el que estará completamente aislado de las áreas de trabajo y de cualquier fuente de contaminación ambiental y será reservado para comer, pudiendo utilizarse además para celebrar reuniones y actividades recreativas. El empleador deberá adoptar las medidas necesarias para mantenerlo en condiciones higiénicas adecuadas.
El comedor estará provisto con mesas y sillas con cubierta de material lavable y piso de material sólido y de fácil limpieza, deberá contar con sistemas de protección que impidan el ingreso de vectores y estará dotado con agua potable para el aseo de manos y cara. Además, en el caso  que los trabajadores deban llevar su comida al inicio del turno de trabajo, dicho comedor deberá contar con un medio de refrigeración, cocinilla, lavaplatos y sistema de energía eléctrica.</t>
  </si>
  <si>
    <t>Cuando existan agentes definidos de contaminación ambiental que pudieran ser perjudiciales para la salud del trabajador, tales como aerosoles, humos, gases, vapores u otras emanaciones nocivas, se deberá captar los contaminantes desprendidos en su origen e impedir su dispersión por el local de trabajo. Con todo, cualquiera sea el procedimiento de ventilación empleado se deberá evitar que la concentración ambiental de tales contaminantes dentro del recinto de trabajo exceda los límites permisibles vigentes.</t>
  </si>
  <si>
    <t>Los elementos estructurales de la construcción de los locales de trabajo y todas las maquinarias, instalaciones, así como las herramientas y equipos, se mantendrán en condiciones seguras y en buen funcionamiento para evitar daño a las personas.</t>
  </si>
  <si>
    <t>Las instalaciones eléctricas y de gas de los lugares de trabajo deberán ser construidas, instaladas, protegidas y mantenidas de acuerdo a las normas establecidas por la autoridad competente.</t>
  </si>
  <si>
    <t>Se prohíbe a los trabajadores cuya labor se ejecuta cerca de maquinarias en movimiento y órganos de transmisión, el uso de ropa suelta, cabello largo y suelto, y adornos susceptibles de ser atrapados por las partes móviles.</t>
  </si>
  <si>
    <t>factura de recambio, plano de emergencia</t>
  </si>
  <si>
    <t>En los lugares en que se almacenen o manipulen sustancias peligrosas, la autoridad sanitaria podrá exigir un sistema automático de detección de incendios. Además, en caso de existir alto riesgo potencial, dado el volumen o naturaleza de las sustancias, podrá exigir la instalación de un sistema automático de extinción de incendios, cuyo agente de extinción sea compatible con el riesgo a proteger.</t>
  </si>
  <si>
    <t>Art 49</t>
  </si>
  <si>
    <t>cuando aplique</t>
  </si>
  <si>
    <t>semestral / cada nuevo trabajador</t>
  </si>
  <si>
    <t>Seguro Escolar</t>
  </si>
  <si>
    <t>Patente comercial</t>
  </si>
  <si>
    <t xml:space="preserve">Boleta agua </t>
  </si>
  <si>
    <t>Inspecciones del CPHS</t>
  </si>
  <si>
    <t>patente comercial</t>
  </si>
  <si>
    <t>Certificado de adhesión</t>
  </si>
  <si>
    <t>DIAT - DIEP</t>
  </si>
  <si>
    <t>Reglamento interno</t>
  </si>
  <si>
    <t>Lista de Chequeo inicial MMC</t>
  </si>
  <si>
    <t>Carpeta personal, Reglamento interno</t>
  </si>
  <si>
    <t>Lista de chequeo 594 CPHS</t>
  </si>
  <si>
    <t>Lista chequeo inicial MMC</t>
  </si>
  <si>
    <t>Programa Radicación UV Solar</t>
  </si>
  <si>
    <t>MUTUAL - APR</t>
  </si>
  <si>
    <t>Cada vez que se contrate a un nuevo trabajador</t>
  </si>
  <si>
    <t xml:space="preserve">Cada vez que se reporte un accidente </t>
  </si>
  <si>
    <t>Cada vez que se reporte una enfermedad</t>
  </si>
  <si>
    <t>Protocolos en caso de enfermedad profesional, según infomación reportada por Mutual , DIEP</t>
  </si>
  <si>
    <t>Constitución CPHS</t>
  </si>
  <si>
    <t>Anual o cada vez que exista cambio o incorporación legal pertinente</t>
  </si>
  <si>
    <t>cada vez que seincorpore un nuevo trabajador</t>
  </si>
  <si>
    <t>ODI, Entrega EPP, RIOHS</t>
  </si>
  <si>
    <t>Cada vez que se reporte por parte del organismo administrador una enfermedad profesional o accidente</t>
  </si>
  <si>
    <t>Evaluación Mutual, informe investigación incidentes CPHS /DIAT /DIEP</t>
  </si>
  <si>
    <t>Cada vez que exista el riesgo de una exposición a enfermedad profesional</t>
  </si>
  <si>
    <t>Examenes pre-ocupacionales, ocupacionales</t>
  </si>
  <si>
    <t>Cada vez que se genere un accidente o enfermedad</t>
  </si>
  <si>
    <t>Resolución Sanitaria Bodega Residuos Peligrosos</t>
  </si>
  <si>
    <t>Un residuo o una mezcla de residuos es peligrosa si presenta riesgo para la salud pública y/o efectos adversos al medio ambiente ya sea directamente o debido a su manejo actual o previsto, como consecuencia de presentar alguna de las características que se definen en el artículo siguiente.</t>
  </si>
  <si>
    <t>Un residuo tendrá la característica de inflamabilidad si presenta cualquiera de las siguientes propiedades: 
a) Es líquido y presenta un punto de inflamación inferior a 61ºC en ensayos de copa cerrada o no superior a 65,6 ºC en ensayos de copa abierta. No incluyéndose en esta definición las soluciones acuosas con una concentración en volumen de alcohol inferior o igual al 24%.
b) No es líquido y es capaz de provocar, bajo condiciones estándares de presión y temperatura (1 atm y 25 °C), fuego por fricción, por absorción de humedad o 10 cambios químicos espontáneos y, cuando se inflama, lo hace en forma tan vigorosa y persistente que ocasiona una situación de peligro.
c) Es un gas comprimido inflamable. Se dice que un gas o una mezcla de gases es inflamable cuando al combinarse con aire constituye una mezcla que tiene un punto de inflamación inferior a 61°C.     
d) Es una sustancia oxidante, tal como los cloratos, permanganatos, peróxidos inorgánicos o nitratos, que genera oxígeno lo suficientemente rápido como para estimular la combustión de materia orgánica.</t>
  </si>
  <si>
    <t>Resolución Sanitaria Bodega Residuos Peligrosos / Inspeccion CPHS</t>
  </si>
  <si>
    <t>Resolución Sanitaria Bodega Residuos Peligrosos/ Registro de disposicion final</t>
  </si>
  <si>
    <t xml:space="preserve">Resolución Sanitaria Bodega Residuos Peligrosos </t>
  </si>
  <si>
    <t>Resolución Sanitaria Bodega Residuos Peligrosos  / RETC</t>
  </si>
  <si>
    <t>RIOHS</t>
  </si>
  <si>
    <t>Inspecciones del MUTUAL, cualitativo</t>
  </si>
  <si>
    <t>ODI, EPP, AST Terreno, Programa Radiación UV Solar</t>
  </si>
  <si>
    <t>Inspecciones del MUTUAL, cualitativo / Inspecciones del CPHS</t>
  </si>
  <si>
    <t>Inspección CPHS</t>
  </si>
  <si>
    <t>Plan de Emergencia, HDS</t>
  </si>
  <si>
    <t xml:space="preserve">nuevo contratacion </t>
  </si>
  <si>
    <t>Cambio de Actividad</t>
  </si>
  <si>
    <t>Lista de verificación de camioneta</t>
  </si>
  <si>
    <t>Lista de verificación de camioneta / Capacitacion de conduccion a la defensiva</t>
  </si>
  <si>
    <t>Rotulado Bodega, HDS</t>
  </si>
  <si>
    <t xml:space="preserve"> Cetificado de pago de cotizaciones de mutual</t>
  </si>
  <si>
    <t xml:space="preserve">HDS / Inspecciones  CPHS </t>
  </si>
  <si>
    <t>RIOHS / Entrega de permiso</t>
  </si>
  <si>
    <t xml:space="preserve">boleta agua </t>
  </si>
  <si>
    <t>Plan de Capacitación</t>
  </si>
  <si>
    <t>Incorporación MUTUAL, pago mensual</t>
  </si>
  <si>
    <t>Pago mensual de MUTUAL</t>
  </si>
  <si>
    <t>Especificado en Reglamento interno</t>
  </si>
  <si>
    <t>Cuando Aplique</t>
  </si>
  <si>
    <t>Verificación de Equipo</t>
  </si>
  <si>
    <t>Certificado de emisión de gases</t>
  </si>
  <si>
    <t>Verificación INAPI</t>
  </si>
  <si>
    <t>Programa Ambiental</t>
  </si>
  <si>
    <t>Contrato de trabajo / carpeta personal</t>
  </si>
  <si>
    <t>DS 67 APRUEBA REGLAMENTO PARA APLICACION DE ARTICULOS 15 Y 16 DE LEY Nº16.744, SOBRE EXENCIONES, REBAJAS Y RECARGOS DE LA COTIZACION ADICIONAL DIFERENCIADA</t>
  </si>
  <si>
    <t>Acta Constitución CPHS / Curso de capacitación CPHS</t>
  </si>
  <si>
    <t>DS 76 APRUEBA REGLAMENTO PARA LA APLICACIÓN DEL ARTICULO 66 BIS DE LA LEY N°16.744 SOBRE LA
GESTIÓN DE LA SEGURIDAD Y SALUD EN EL TRABAJO EN OBRAS, FAENAS O SERVICIOS QUE INDICA.</t>
  </si>
  <si>
    <t>Revision</t>
  </si>
  <si>
    <t>Fecha</t>
  </si>
  <si>
    <t>Descripción del cambio</t>
  </si>
  <si>
    <t>Incorporación de columna de separación de cuerpo legal (N° y Descripción) para mejorar identificación y busqueda.</t>
  </si>
  <si>
    <t>Revisión y actualización de cumplimiento de DS 594, DS 18,  DS 43, NCh 2056</t>
  </si>
  <si>
    <t>DFL 1</t>
  </si>
  <si>
    <t>Ley 20949</t>
  </si>
  <si>
    <t>Ley 20005</t>
  </si>
  <si>
    <t>Ley 20096</t>
  </si>
  <si>
    <t>DS 43</t>
  </si>
  <si>
    <t>DFL 458</t>
  </si>
  <si>
    <t>DS 47</t>
  </si>
  <si>
    <t>DFL 725</t>
  </si>
  <si>
    <t>Ley 18490</t>
  </si>
  <si>
    <t>DS 1</t>
  </si>
  <si>
    <t>DS 206</t>
  </si>
  <si>
    <t>DS 76</t>
  </si>
  <si>
    <t>DS 67</t>
  </si>
  <si>
    <t>Decreto 63</t>
  </si>
  <si>
    <t>Decreto 238</t>
  </si>
  <si>
    <t>Decreto 55</t>
  </si>
  <si>
    <t>Ley 20435</t>
  </si>
  <si>
    <t xml:space="preserve">Ley 20160 </t>
  </si>
  <si>
    <t>MODIFICA LA LEY N° 17.336 SOBRE PROPIEDAD INTELECTUAL</t>
  </si>
  <si>
    <t>Decreto 719</t>
  </si>
  <si>
    <t>Descripción Cuerpo Legal</t>
  </si>
  <si>
    <t>N°/Código</t>
  </si>
  <si>
    <t>DS 18</t>
  </si>
  <si>
    <t>DS 254</t>
  </si>
  <si>
    <t>DS 109</t>
  </si>
  <si>
    <t>APRUEBA GUÍA PARA LA SELECCIÓN Y CONTROL DE PROTECCIÓN OCULAR Y FACIAL, ELABORADA POR EL DEPARTAMENTO DE SALUD OCUPACIONAL</t>
  </si>
  <si>
    <t>Los gases, vapores, humos, polvo, emanaciones o contaminantes de cualquiera naturaleza, producidos en cualquier establecimiento fabril o lugar de trabajo, deberán captarse o eliminarse en forma tal que no causen peligros, daños o molestias al vencindario</t>
  </si>
  <si>
    <t xml:space="preserve">Artículo 1° </t>
  </si>
  <si>
    <t xml:space="preserve"> Los equipos de combustión de los servicios de calefacción o agua caliente de cualquier tipo de edificio, que utilicen combustibles sólidos o líquidos, deberán contar con la aprobación del Servicio Nacional de Salud, organismo que la otorgará cuando estime que la combustión puede efectuarse sin producción de humos, gases o quemados, gases tóxicos o malos olores y sin que escapen al aire cenizas o residuos sólidos.</t>
  </si>
  <si>
    <t>Artículo 2°</t>
  </si>
  <si>
    <t>Prohíbese dentro del radio urbano de las ciudades la incineración libre, sea en la vía pública o en los recintos privados, de hojas secas, basuras u otros desperdicios.</t>
  </si>
  <si>
    <t xml:space="preserve">Artículo 6° </t>
  </si>
  <si>
    <t>Prohíbese la circulación de todo vehículo motorizado que despida humo visible por su tubo de escape</t>
  </si>
  <si>
    <t xml:space="preserve">Artículo 7° </t>
  </si>
  <si>
    <t>RES EX 3457</t>
  </si>
  <si>
    <t>DS 144</t>
  </si>
  <si>
    <t>DS 103</t>
  </si>
  <si>
    <t>DS 149</t>
  </si>
  <si>
    <t>DS 206 de 1970 MODIFICA EL REGLAMENTO DE COMITES PARITARIOS DE HIGIENE Y SEGURIDAD</t>
  </si>
  <si>
    <t>DS 76 APRUEBA REGLAMENTO PARA LA APLICACIÓN DEL ARTICULO 66 BIS DE LA LEY N°16.744 SOBRE LA GESTIÓN DE LA SEGURIDAD Y SALUD EN EL TRABAJO EN OBRAS, FAENAS O SERVICIOS QUE INDICA.</t>
  </si>
  <si>
    <t>Contrato o Subcontratación</t>
  </si>
  <si>
    <t>LEY 20123, MINISTERIO DEL TRABAJO Y PREVISIÓN SOCIAL, REGULA EL TRABAJO EN REGIMEN DE SUBCONTRATACIÓN, EL FUNCIONAMIENTO DE LAS EMPRESAS DE SERVICIOS TRANSITORIOS Y EL CONTRATO DE SERVICIOS TRANSITORIOS</t>
  </si>
  <si>
    <t xml:space="preserve">Incorporación de requisitos legales: • D.S Nº 206/1970 Ministerio del Trabajo y Previsión Social Modifica el Decreto Nº54 de 1969, que Aprobó el Reglamento de Comités Paritarios de Higiene y Seguridad: • Decreto Nº 76/06 Ministerio del Trabajo y Previsión Social Aprueba Reglamento para la Aplicación del Artículo Nº 66 Bis de a Ley Nº 16.744 sobre la Gestión de la Seguridad y Salud en el Trabajo en Obras, Faenas o Servicios.
• Resolución Exenta Nº 3.457 de 2012 del Ministerio de Salud, que Aprueba la “Guía para la selección y control de protección ocular y facial”, elaborada por el Departamento de Salud Ocupacional del Instituto de Salud Pública.
• Resolución Exenta Nº 218 del Ministerio de Salud, que Aprueba instrumento de evaluación de medidas para la prevención de riesgos psicosociales en el trabajo, elaborado por el Departamento de Salud Ocupacional.
• D.S. Nº144/1961 Ministerio de Salud. Normas para Evitar Emanaciones o Contaminantes Atmosféricos de Cualquier Naturaleza..
• D.S.Nº103/2000 Ministerio de Transportes y Telecomunicaciones Norma de emisión de hidrocarburos no mecánicos para vehículos livianos y medianos.
• D.S. N°149/2007 Ministerio de Transportes y Telecomunicaciones Establece norma de emisión de NO, HC y CO para el control del NOx en vehículos en uso, de encendido por chispa (Ciclo OTTO), que cumplen con las Normas de Emisión Establecidas en el DS. Nº 211.
• Resolución N°499/2006, Ministerio de Salud. Aprueba documento electronico de declaración de residuos peligrosos.
• Ley 20123, Ministerios del Trabajo y Previsión Social, Regula el trabajo en regimen de subcontratación, el funcionamiento de las empresas de servicios transitorios y el contrato de trabajo de servicios transitorios
</t>
  </si>
  <si>
    <t>Ley 20123</t>
  </si>
  <si>
    <t>Lista de chequeo, Lista de Compra</t>
  </si>
  <si>
    <t>RES EX 218</t>
  </si>
  <si>
    <t>RESOLUCION EXENTA 218, MINISTERIO DE SALUD, APRUEBA INSTRUMENTO DE EVALUACION DE MEDIDAS PARA LA PREVENCION DE RIESGO PSICOSOCIALES EN EL TRABAJO</t>
  </si>
  <si>
    <t>IMPLEMENTACION PROTOCOLO</t>
  </si>
  <si>
    <t>DECRETO SUPREMO 100 / 2005, MINISTERIO SECRETARIA GENERAL DE LA PRESIDENCIA, FIJA EL TEXTO REFUNDIDO, COORDINADO Y SISTEMATIZADO DE LA CONSTITUCION POLITICA DE LA REPUBLICA DE CHILE</t>
  </si>
  <si>
    <t>DECRETO SUPREMO 144 / 1961, MINISTERIO DE SALUD, ESTABLECE NORMAS PARA EVITAR EMANACIONES O CONTAMINANTES ATMOSFERICOS DE CUALQUIERA NATURALEZA</t>
  </si>
  <si>
    <t>Revisión técnica</t>
  </si>
  <si>
    <t>Calefacción electrica</t>
  </si>
  <si>
    <t>DECRETO SUPREMO 103, MINISTERIO DE TRANSPORTE Y TELECOMUNICACIONES, ESTABLECE NORMA DE EMISION DE HIDROCARBUROS NO METANICOS PARA VEHICULOS LIVIANOS Y MEDIANOS</t>
  </si>
  <si>
    <t>Revisión Técnica</t>
  </si>
  <si>
    <t>DECRETO SUPREMO 149 / 2007, MINISTERIO DE TRANSPORTE Y TELECUMUNICACIONES, ESTABLECE NORMA DE EMISION DE NO, HC Y CO PARA EL CONTROL DEL NOX EN VEHICULOS EN USO, DE ENCENDIDO POR CHISPA (CICLO OTTO), QUE CUMPLEN CON LAS NORMAS DE EMISION ESTABLECIDAS EN EL DS. Nº 211 DE 1991 Y DS. Nº 54, DE 1994</t>
  </si>
  <si>
    <t>NCh 2056, Extintores portátiles - Inspección, mantención y recarga - Requisitos generales Instalaciones fijas de extinción</t>
  </si>
  <si>
    <t>Registro de inspección mensual de extintores, tarjeta de inspeccion mensual del extintor</t>
  </si>
  <si>
    <t>DS 54</t>
  </si>
  <si>
    <t>DECRETO SUPREMO 54 / 1994, MINISTERIO DE TRANSPORTE Y TELECUMUNICACIONES, ESTABLECE NORMAS DE EMISIÓN APLICABLES A VEHICULOS MOTORIZADOS MEDIANOS</t>
  </si>
  <si>
    <t>RESOLUCIÓN N°499/2006, MINISTERIO DE SALUD. APRUEBA DOCUMENTO ELECTRONICO DE DECLARACIÓN DE RESIDUOS PELIGROSOS</t>
  </si>
  <si>
    <t>RES EX 499</t>
  </si>
  <si>
    <t>Mensual</t>
  </si>
  <si>
    <t>Certificación de Calidad EPP / Revisión desde pagina del ISP</t>
  </si>
  <si>
    <t xml:space="preserve">Inspecciones de la MUTUAL, cualitativo </t>
  </si>
  <si>
    <t>Inspecciones de la MUTUAL, cualitativo</t>
  </si>
  <si>
    <t>Licencia de Conducir</t>
  </si>
  <si>
    <t>Inspecciones de la MUTUAL, cualitativo, Inventario de Equipos</t>
  </si>
  <si>
    <t>Inspecciones del MUTUAL, cualitativo, Plan Emergencia</t>
  </si>
  <si>
    <t>Los extintores que precisan estar situados en intemperie deberan colocarse en un nicho o gaveta que permitiran su retiro expedito y podran tener una puerta de vidrio simple, facil de romper en caso de emergencia.</t>
  </si>
  <si>
    <t>Inspecciones del MUTUAL, cualitativo, Plano ubicación extintores</t>
  </si>
  <si>
    <t xml:space="preserve"> Evaluación de iluminación. MUTUAL</t>
  </si>
  <si>
    <t>Resolución Sanitaria SEREMI Salud (voluntaria)</t>
  </si>
  <si>
    <t>LEY 20584 / 2012, MINISTERIO DE SALUD, REGULA LOS DERECHOS Y DEBERES QUE TIENEN LAS PERSONAS EN RELACION CON ACCIONES VINCULADAS A SU ATENCIÓN EN SALUD</t>
  </si>
  <si>
    <t>Define los derechos y deberes vinculadas a su atención de salud</t>
  </si>
  <si>
    <t>LEY 20393 / 2016, MINISTERIO DE HACIENDA, ESTABLECE LA RESPONSABILIDAD PENAL DE LAS PERSONAS JURIDICAS EN LOS DELITOS DE LAVADOS DE ACTIVOS, FINANCIAMIENTO DEL TERRORISMO Y DELITOS DE COHECHO QUE INDICA</t>
  </si>
  <si>
    <t>Establece responsabilidades de delitos economicos individuales dentro de la empresa</t>
  </si>
  <si>
    <t>LEY 21012 / 2017, MINISTERIO DE TRABAJO Y PREVISIÓN SOCIAL, GARANTIZA SEGURIDAD DE LOS TRABAJADORES EN SITUACIONES DE RIESGO Y EMERGENCIA</t>
  </si>
  <si>
    <t>Establece responsabilidades de empleador sobre comunicación de situaciones de riesgo y emergencia</t>
  </si>
  <si>
    <t>LEY 20830 / 2015, MINISTERIO SECRETARIA GENERAL DE GOBIERNO, CREA EL ACUERDO DE UNIÓN CIVIL</t>
  </si>
  <si>
    <t>Establece creación del acuerdo de unión civil</t>
  </si>
  <si>
    <t>LEY 21015 / 2017, MINISTERIO DE DESARROLLO SOCIAL, INCENTIVA LA INCLUSIÓN DE PERSONAS CON DISCAPACIDAD AL MUNDO LABORAL</t>
  </si>
  <si>
    <t>Artículo 2</t>
  </si>
  <si>
    <t>Modifícase el título III del libro I del Código del Trabajo, de la siguiente manera:
     1. Reemplázase su denominación por la siguiente: "Del Reglamento Interno y la Inclusión Laboral de Personas con Discapacidad".
     2. Intercálase, a continuación del epígrafe antes señalado, lo siguiente:
     "Capítulo I
     Del Reglamento Interno"
     3. Incorpóranse, a continuación del artículo 157, el siguiente capítulo II y los artículos 157 bis y 157 ter que lo componen:
     "Capítulo II
     De la Inclusión Laboral de Personas con Discapacidad
     Artículo 157 bis.- Las empresas de 100 o más trabajadores deberán contratar o mantener contratados, según corresponda, al menos el 1% de personas con discapacidad o que sean asignatarias de una pensión de invalidez de cualquier régimen previsional, en relación al total de sus trabajadores.
     Las personas con discapacidad deberán contar con la calificación y certificación señaladas en el artículo 13 de la ley N° 20.422. 
     El empleador deberá registrar los contratos de trabajo celebrados con personas con discapacidad o asignatarios de una pensión de invalidez de cualquier régimen previsional, así como sus modificaciones o términos, dentro de los quince días siguientes a su celebración a través del sitio electrónico de la Dirección del Trabajo, la que llevará un registro actualizado de lo anterior, debiendo mantener reserva de dicha información.
     La fiscalización de lo dispuesto en este capítulo corresponderá a la Dirección del Trabajo, salvo lo dispuesto en el inciso cuarto del artículo siguiente, en lo relativo a la reglamentación de la letra b) de ese mismo artículo.
     Un reglamento dictado por el Ministerio del Trabajo y Previsión Social y suscrito por los ministros de Hacienda y de Desarrollo Social, establecerá los parámetros, procedimientos y demás elementos necesarios para dar cumplimiento a lo establecido en este capítulo.
     Artículo 157 ter.- Las empresas que, por razones fundadas, no puedan cumplir total o parcialmente la obligación establecida en el inciso primero del artículo anterior, deberán darle cumplimiento en forma alternativa, ejecutando alguna de las siguientes medidas:
     a) Celebrar contratos de prestación de servicios con empresas que tengan contratadas personas con discapacidad.
     b) Efectuar donaciones en dinero a proyectos o programas de asociaciones, corporaciones o fundaciones a las que se refiere el artículo 2 de la ley N° 19.885.
     Sólo se considerarán razones fundadas aquellas derivadas de la naturaleza de las funciones que desarrolla la empresa o la falta de personas interesadas en las ofertas de trabajo que se hayan formulado.
     El monto anual de los contratos celebrados de conformidad a la letra a) de este artículo no podrá ser inferior al equivalente a veinticuatro ingresos mínimos mensuales respecto de cada trabajador que debía ser contratado por la empresa.
     Las donaciones establecidas en la letra b) de este artículo deberán sujetarse a lo dispuesto en la ley N° 19.885, en lo que resulte aplicable, y con las excepciones que se señalan a continuación:
     1.- Estas donaciones no darán derecho a los créditos y beneficios tributarios establecidos en los artículos 1 y 1 bis. Sin embargo, para efectos de lo establecido en la Ley sobre Impuesto a la Renta, contenida en el artículo 1 del decreto ley N° 824, de 1974, tendrán la calidad de gasto necesario para producir la renta de acuerdo a lo establecido en el artículo 31 del referido cuerpo legal.
     2.- Las donaciones deberán dirigirse a proyectos o programas de asociaciones, corporaciones o fundaciones cuyo objeto social incluya la capacitación, rehabilitación, promoción y fomento para la creación de empleos, contratación o inserción laboral de las personas con discapacidad.
     3.- Las donaciones no podrán efectuarse a instituciones en cuyo directorio participe el donante, su cónyuge, su conviviente civil o sus parientes ascendientes o descendientes hasta el tercer grado de consanguinidad. En caso que el donante sea una persona jurídica, no podrá efectuar donaciones a instituciones en cuyo directorio participen sus socios o directores o los accionistas que posean el 10% o más del capital social, o los cónyuges, convivientes civiles o parientes ascendientes o descendientes hasta el tercer grado de consanguinidad de dichos socios, directores o accionistas.
     4.- El monto anual de las donaciones efectuadas no podrá ser inferior al equivalente a veinticuatro ingresos mínimos mensuales ni superior a doce veces el límite máximo imponible establecido en el artículo 16 del decreto ley Nº 3.500, de 1980, respecto de cada trabajador que debía ser contratado por la empresa.
     5.- No se aplicará a las donaciones a que se refiere esta ley el límite global absoluto establecido en el artículo 10.
     Las empresas que ejecuten alguna de las medidas señaladas en las letras a) y b) de este artículo deberán remitir una comunicación electrónica a la Dirección del Trabajo, con copia a la Subsecretaría de Evaluación Social del Ministerio de Desarrollo Social, al Servicio Nacional de la Discapacidad y al Servicio de Impuestos Internos. La empresa deberá indicar en esta comunicación la razón invocada y la medida adoptada. Esta comunicación deberá ser efectuada durante el mes de enero de cada año y tendrá una vigencia de doce meses.".</t>
  </si>
  <si>
    <t>Modifícase la letra g) del artículo 2 de la ley N° 16.395, que fija el texto refundido de la ley de organización y atribuciones de la Superintendencia de Seguridad Social, del modo que sigue:
     1. Intercálase el siguiente párrafo tercero:
     "Asimismo, el Sistema incorporará la información respecto de las personas que sean asignatarias de una pensión de invalidez de cualquier régimen previsional, que los organismos previsionales y de seguridad social deberán remitir mensualmente, en la forma que la Superintendencia determine.".
     2. Agréganse a continuación del actual párrafo tercero, que ha pasado a ser cuarto, los siguientes párrafos quinto y sexto:
     "Las subsecretarías del Trabajo y de Previsión Social tendrán acceso a dicho Sistema y a la información que fuere necesaria sólo para el ejercicio de sus funciones. En tal caso, el tratamiento y uso de los datos personales que efectúen las subsecretarías quedará dentro del ámbito de su competencia.
     Dichas subsecretarías y su personal deberán guardar absoluta reserva y secreto de la información de que tomen conocimiento y abstenerse de usar dicha información en beneficio propio o de terceros. Para efectos de lo dispuesto en el inciso segundo del artículo 125 de la ley N° 18.834, sobre Estatuto Administrativo, cuyo texto refundido, coordinado y sistematizado fue fijado por el decreto con fuerza de ley N° 29, de 2004, del Ministerio de Hacienda, se estimará que los hechos que configuren infracciones a esta disposición vulneran gravemente el principio de probidad administrativa, sin perjuicio de las demás sanciones y responsabilidades que procedan.".</t>
  </si>
  <si>
    <t>Artículo 6</t>
  </si>
  <si>
    <t>Para dar cumplimiento a la obligación establecida en el número 3  del artículo 3 de esta ley, los empleadores deberán registrar en el sitio electrónico de la Dirección del Trabajo y durante el plazo de seis meses posteriores a su entrada en vigencia, los contratos de trabajo vigentes de las personas con discapacidad o que sean asignatarios de pensión de invalidez de cualquier régimen previsional.</t>
  </si>
  <si>
    <t>Artículo Tercero Transitorio</t>
  </si>
  <si>
    <t>Las empresas de 100 y hasta 199 trabajadores estarán sujetas a la obligación establecida en el inciso primero del artículo 157 bis del Código del Trabajo, introducido por el artículo 3 de esta ley, a partir del término del primer año contado desde la entrada en vigencia de la presente ley</t>
  </si>
  <si>
    <t>Artículo Quinto Transitorio</t>
  </si>
  <si>
    <t>Durante los dos primeros años contados desde la entrada en vigencia de la presente ley, las empresas podrán optar por cumplir la obligación establecida en el inciso primero del artículo 157 bis del Código del Trabajo, introducido por el artículo 3 de esta ley, a través de la contratación directa de trabajadores o por medio de alguna de las medidas establecidas en el artículo 157 ter del Código del Trabajo, introducido por este mismo cuerpo legal, sin necesidad de contar con una razón fundada.".</t>
  </si>
  <si>
    <t>Artículo Sexto Transitorio</t>
  </si>
  <si>
    <t>RIOHS / Pago Previsional</t>
  </si>
  <si>
    <t>LEY 20348 / 2009, MINISTERIO DEL TRABAJO Y PREVISIÓN SOCIAL; SUBSECRETARÍA DEL TRABAJO, RESGUARDA EL DERECHO A LA IGUALDAD EN LAS REMUNERACIONES</t>
  </si>
  <si>
    <t>Establece el derecho a la igualdad en las remuneraciones</t>
  </si>
  <si>
    <t>LEY 20422 / 2010, MINISTERIO DE PLANIFICACIÓN, ESTABLECE NORMAS SOBRE IGUALDAD DE OPORTUNIDADES E INCLUSIÓN SOCIAL DE PERSONAS CON DISCAPACIDAD</t>
  </si>
  <si>
    <t>Toda persona o institución, pública o privada, que ofrezca servicios educacionales, capacitación o empleo, exigiendo la rendición de exámenes u otros requisitos análogos, deberá realizar los ajustes necesarios para adecuar los mecanismos, procedimientos y prácticas de selección en todo cuanto se requiera para resguardar la igualdad de oportunidades de las personas con discapacidad que participen en ellos.
Los postulantes que presenten alguna discapacidad que les produzca impedimento o dificultad en la aplicación de los instrumentos de selección que se administren para el efecto, deberán informarlo en su postulación, para su adaptación.</t>
  </si>
  <si>
    <t>Los parques, plazas o áreas verdes, públicos y privados de uso público, que contemplen juegos infantiles no mecanizados, deberán construirse a partir de un diseño universal que permita su utilización de forma autónoma por todos los niños, incluidos aquellos con discapacidad, garantizando, a su vez, las condiciones de accesibilidad universal para que puedan ingresar de manera segura desde la calle al área común de juegos y circular por las distintas dependencias a través de rutas que hagan posible su continuidad en el desplazamiento. Las juntas de vecinos del respectivo sector podrán solicitar la adecuación de los referidos juegos, en los términos señalados en el presente inciso.</t>
  </si>
  <si>
    <t>Las edificaciones anteriores a la entrada en vigencia de la ley N° 19.284 quedarán sometidas a las exigencias de accesibilidad contenidas en el artículo 21 de dicha ley y sus normas complementarias. Del mismo modo, las edificaciones colectivas destinadas exclusivamente a vivienda, cuyos permisos de construcción fueron solicitados entre la entrada en vigencia de la ley Nº19.284 y la entrada en vigencia del presente cuerpo legal, continuarán siendo regidas por el artículo 21 de la ley N° 19.284 y sus normas complementarias.</t>
  </si>
  <si>
    <t>Los establecimientos comerciales, industriales y de servicios, públicos o privados; los que exhiban espectáculos artísticos, culturales o deportivos; los edificios destinados a un uso que implique la concurrencia de público, y los espacios de uso público que cuenten con estacionamientos para vehículos, reservarán un número suficiente de ellos para el uso de las personas con discapacidad, conforme a las disposiciones de la Ordenanza General de Urbanismo y Construcciones. Corresponderá a la municipalidad respectiva velar por el adecuado cumplimiento de esta obligación.</t>
  </si>
  <si>
    <t>LEY 19284 / 1994, MINISTERIO DE PLANIFICACIÓN Y COOPERACIÓN, ESTABLECE NORMAS PARA LA PLENA INTEGRACION SOCIAL DE PERSONAS CON DISCAPACIDAD</t>
  </si>
  <si>
    <t>Articulo 21</t>
  </si>
  <si>
    <t>Las nuevas construcciones, ampliaciones, instalaciones, sean éstas telefónicas, eléctricas u otras y reformas de edificios de propiedad pública o privada, destinados a un uso que implique la concurrencia de público, así como también las vías públicas y de acceso a medios de transporte público, parques, jardines y plazas, deberán efectuarse de manera que resulten accesibles y utilizables sin dificultad por personas que se desplacen en sillas de ruedas. Si contaren con ascensores, éstos deberán tener capacidad suficiente para transportarlas.
    Los organismos competentes modificarán las normas de urbanismo y construcción vigentes de manera que ellas contengan las condiciones a que deberán ajustarse gradualmente los proyectos; el procedimiento de autorización y de fiscalización; las sanciones que procedieren por su incumplimiento y el plazo y prioridades para que las edificaciones ya existentes se adecuen a las exigencias previstas en el inciso precedente.</t>
  </si>
  <si>
    <t>Articulo 25-A</t>
  </si>
  <si>
    <t>LEY 20764 / 2014, MINISTERIO DEL TRABAJO Y PREVISIÓN SOCIAL, MODIFICA EL CÓDIGO DEL TRABAJO EN MATERIA DE PROTECCIÓN A LA MATERNIDAD, LA PATERNIDAD Y LA VIDA FAMILIAR Y ESTABLECE UN PERMISO POR MATRIMONIO DEL TRABAJADOR</t>
  </si>
  <si>
    <t>Introduce modificaciones al código del trabajo en materia de Protección a la maternidad, paternidad y la vida familiar y establece permiso por matrimonio del trabajador.</t>
  </si>
  <si>
    <t>LEY 21042 / 2017, MINISTERIO DEL TRABAJO Y PREVISIÓN SOCIAL, APLICA AL TRABAJADOR QUE CELEBRA UN ACUERDO DE UNIÓN CIVIL EL PERMISO LABORAL QUE SE OTORGA A QUIEN CONTRAE MATRIMONIO</t>
  </si>
  <si>
    <t>Establece permiso laboral que se otroga a quien contrae matrimonio al que celebra un acuerdo de unión civil</t>
  </si>
  <si>
    <t>Incorporación de Leyes al Raglamento Interno de Higiene y Seguridad no contempladas en Matriz Legal: Ley 20584, Ley 20393, Ley 21012, Ley 20830, Ley 20348, Ley 21015, Ley 20422, Ley 19284, Ley 20764, Ley 21042</t>
  </si>
  <si>
    <t>Ley 20584</t>
  </si>
  <si>
    <t>Ley 20393</t>
  </si>
  <si>
    <t>Ley 21012</t>
  </si>
  <si>
    <t>Ley 20830</t>
  </si>
  <si>
    <t>Ley 20348</t>
  </si>
  <si>
    <t>Ley 21015</t>
  </si>
  <si>
    <t>Ley 20422</t>
  </si>
  <si>
    <t>Ley 19284</t>
  </si>
  <si>
    <t>Ley 20764</t>
  </si>
  <si>
    <t>Ley 21042</t>
  </si>
  <si>
    <t>Toda persona con discapacidad, no obstante lo señalado en el artículo 6º, tendrá el derecho a ser acompañada permanentemente por un perro de asistencia, a todo edificio, construcción, infraestructura o espacio de uso público, sea de propiedad privada o pública, destinado a un uso que implique la concurrencia de público.
Asimismo, estas personas, junto con sus perros de asistencia, tendrán derecho a acceder y circular en cualquier medio de transporte terrestre o marítimo de pasajeros que preste servicios en el territorio nacional, sea gratuito o remunerado, público o privado, individual o colectivo. El acceso y circulación en los medios de transporte aéreo se regirá por la normativa vigente.</t>
  </si>
  <si>
    <t>Informe Riesgo Psicosocial N°139618 DSS SA (proxima evaluacion octubre de 2022)</t>
  </si>
  <si>
    <t>Periodicidad</t>
  </si>
  <si>
    <t>mensual</t>
  </si>
  <si>
    <t>resolución Sanitaria Bodega de Residuos Peligrosos</t>
  </si>
  <si>
    <t>Bianual</t>
  </si>
  <si>
    <t>Art 1º Introduce las siguientes modificaciones en el Codigo del Trabajo: Modificase el Art 2º Las relaciones laborales deberan siempre fundarse en un trato compatible con la dignidad de la persona.  Es contrario a ella  entre otras conductas el acoso sexual, por tal el que una persona realice en forma indebida por cualquier medio requerimientos de caracter sexual, no consentidos por quien los recibe o que amenacen o perjudiquen su situacion laboral o oportunidades de empleo</t>
  </si>
  <si>
    <t>Artículo 1°</t>
  </si>
  <si>
    <t>Artículo 17</t>
  </si>
  <si>
    <t>permiso bodega Respel SeremI / Declaracion RETC</t>
  </si>
  <si>
    <t>Ordenanza 46</t>
  </si>
  <si>
    <t>Ordenanza Municipal N° 46 Gestión Ambiental Comunal</t>
  </si>
  <si>
    <t>PLAN REGULADOR COMUNAL SAN PEDRO DE LA PAZ DE 24 DE FEBRERO 2011</t>
  </si>
  <si>
    <t>Inscrito en ventanilla unica, con clave de usuario para inscripción en registro digital y declarado en Ventanilla Unica.</t>
  </si>
  <si>
    <t>Incorporación de columna de indicador de menor tiempo de revisión de controles operacionales; además se verifican los controles operacionales de la normativa incluida en la matriz legal. Se actualiza Ordenanza Municipal 35 a 46, tambien se referencia nuevo plano regulador</t>
  </si>
  <si>
    <t>Se verifican los distintos controles operacionales de toda la normativa aplicable</t>
  </si>
  <si>
    <t>HOJA DE DATOS DE SEGURIDAD PARA PRODUCTOS QUIMICOS - CONTENIDO Y ORDEN DE LAS SECCIONES</t>
  </si>
  <si>
    <t>Documento que explica contenido y orden de secciones que debe contener una Hoja de Seguridad de productos con sustancias peligrosas dentro del territorio nacional.</t>
  </si>
  <si>
    <t>Archivo de HDS</t>
  </si>
  <si>
    <t>Se verifican los distintos controles operacionales de toda la normativa aplicable, se incluye NCh2245:2015</t>
  </si>
  <si>
    <t>CONFIERE COMPETENCIA A LOS TRIBUNALES LABORALES PARA CONOCER DE LAS CONTIENDAS EN QUE, LOS CAUSAHABIENTES DEL TRABAJADOR, BUSCAN HACER EFECTIVA LA RESPONSABILIDAD DEL EMPLEADOR, DERIVADA DE ACCIDENTES DEL TRABAJO O ENFERMEDADES PROFESIONALES</t>
  </si>
  <si>
    <t>Artículo único</t>
  </si>
  <si>
    <t>"Artículo único.- Reemplázase la letra f) del artículo 420 del Código del Trabajo, por la siguiente:
     "f) los juicios iniciados por el propio trabajador o sus causahabientes, en que se pretenda hacer efectiva la responsabilidad contractual del empleador por los daños producidos como consecuencia de accidentes del trabajo o enfermedades profesionales. Respecto de la responsabilidad extracontractual se seguirán las reglas del artículo 69 de la ley Nº 16.744, y".".</t>
  </si>
  <si>
    <t>Cada vez que se presente producto de accidente o enfermedad profesional</t>
  </si>
  <si>
    <t>Demanda Existente</t>
  </si>
  <si>
    <t>Ley 21018</t>
  </si>
  <si>
    <t>MODIFICA EL CÓDIGO DEL TRABAJO EN MATERIA DE CONTRATO DE TRABAJO POR OBRA O FAENA</t>
  </si>
  <si>
    <t>Modifica Codigo del Trabajo en materia de trabajo por obra o faena</t>
  </si>
  <si>
    <t>Contratos</t>
  </si>
  <si>
    <t>Se incorporan Ley 21018 y 21122 , además se verifican los distintos controles operacionales de toda la normativa aplicable</t>
  </si>
  <si>
    <t xml:space="preserve">REPORTE MUTUAL </t>
  </si>
  <si>
    <t xml:space="preserve">Inspecciones Check List RESPEL  </t>
  </si>
  <si>
    <t xml:space="preserve">Inspecciones Check List RESPEL   /Prohibicion de fumadores en toda el area </t>
  </si>
  <si>
    <t>Se incorpora norma técnica 142, además se verifican los distintos controles operacionales de toda la normativa aplicable de acuerdo a su tiempo de revisión.</t>
  </si>
  <si>
    <t>NT 142</t>
  </si>
  <si>
    <t>NORMA TECNICA N° 142, NOTIFICACION ACCIDENTES GRAVES Y FATALES</t>
  </si>
  <si>
    <t>Implementación de Sistema de Vigilancia de Accidentes de Trabajo con Resultado de Muerte y Graves”, que obliga a todo el sistema de salud nacional a notificar ante la SEREMI la ocurrencia de accidentes graves o fatales en las empresas del país</t>
  </si>
  <si>
    <t>Carpeta de Personal</t>
  </si>
  <si>
    <t>Resolución Sanitaria Bodega Residuos Peligrosos / Inspeccion APR</t>
  </si>
  <si>
    <t>Inspeccion APRS / Registro disposición final</t>
  </si>
  <si>
    <t>Se verifican los distintos controles operacionales de toda la normativa aplicable se revisan todas las normas</t>
  </si>
  <si>
    <t>Se verifican los distintos controles operacionales de toda la normativa aplicable, se separan normas legales por aplicación de norma (Calidad, Medio Ambiente, Seguridad y Salud Ocupacional), para enviar a Asesor Legal</t>
  </si>
  <si>
    <t>NT TMERT</t>
  </si>
  <si>
    <t>PRC San Pedro de la Paz</t>
  </si>
  <si>
    <t>Ley 20.105</t>
  </si>
  <si>
    <t>Ley 20.047</t>
  </si>
  <si>
    <t>NCh 2056</t>
  </si>
  <si>
    <t>Se verifican los distintos controles operacionales de toda la normativa aplicable, se incluyen normas: COVID-19</t>
  </si>
  <si>
    <t>En ejercicio, Horarios, mantención funciones y cargos, recursos para funcionar.</t>
  </si>
  <si>
    <t>Ley 21220</t>
  </si>
  <si>
    <t>Contratos de trabajo</t>
  </si>
  <si>
    <t>Dictamen Ordinario Nº 1389/007 de la Dirección del Trabajo.</t>
  </si>
  <si>
    <t>Fija sentido y alcance de la Ley N°21.220, de 26.03.2020</t>
  </si>
  <si>
    <t>ORD 1389/007 DT</t>
  </si>
  <si>
    <t>RES EX 144</t>
  </si>
  <si>
    <t>Declaraciones en VU RETC, Retiro de RESPEL</t>
  </si>
  <si>
    <t>Verificación con Asesor Legal, se implementan observaciones del Asesor Legal: Relevantes Incorporacion Ley 21217, Ley 21220, ORD 1389/007 DT como cuerpos separados. Además se agrega Resolución Exenta 144</t>
  </si>
  <si>
    <t>Resolución Exenta 144, APRUEBA NORMA BÁSICA PARA LA IMPLEMENTACIÓN DE  MODIFICACIÓN AL REGLAMENTO DEL REGISTRO DE EMISIONES Y  TRANSFERENCIAS DE CONTAMINANTES, RETC</t>
  </si>
  <si>
    <t>Resolucion Exenta 144, MINISTERIO DE MEDIO AMBIENTE,  NORMA BÁSICA PARA LA IMPLEMENTACIÓN DE MODIFICACIÓN AL REGLAMENTO DEL REGISTRO DE EMISIONES Y TRANSFERENCIAS DE CONTAMINANTES, RETC</t>
  </si>
  <si>
    <t>Inspecciones APR y MUTUAL, cualitativo</t>
  </si>
  <si>
    <t>Inspecciones APR y MUTUAL, cualitativo /CPHS</t>
  </si>
  <si>
    <t>Charlas operacionales, Norma tecnica 142</t>
  </si>
  <si>
    <t>RIOHS / Plan de Emergencia / ODI / Simulacros de Emergencia</t>
  </si>
  <si>
    <t>Cada vez</t>
  </si>
  <si>
    <t>Art. 1</t>
  </si>
  <si>
    <t>Este Reglamento establece las condiciones sanitarias y de seguridad mínimas a que deberá someterse la generación, tenencia, almacenamiento, transporte, tratamiento, reuso, reciclaje, disposición final y otras formas de eliminación de los residuos peligrosos.</t>
  </si>
  <si>
    <t>Art. 37 inc. 3</t>
  </si>
  <si>
    <t>Art. 37 inc. 2</t>
  </si>
  <si>
    <t>Art. 37 inc. 4</t>
  </si>
  <si>
    <t>Art. 37 inc 5</t>
  </si>
  <si>
    <t>Art. 44 inc 2</t>
  </si>
  <si>
    <t>Art. 44 inc 4</t>
  </si>
  <si>
    <t xml:space="preserve"> Especificaciones técnicas y certificaciones EPP</t>
  </si>
  <si>
    <t>Art. 9 inc. 2</t>
  </si>
  <si>
    <t>Art. 14</t>
  </si>
  <si>
    <t>Articulo Tercero</t>
  </si>
  <si>
    <t>PROPIEDAD INTELECTUAL</t>
  </si>
  <si>
    <t>Articulo 28 inc 2</t>
  </si>
  <si>
    <t>Articulo 28 inc 3</t>
  </si>
  <si>
    <t>Registros Sidrep</t>
  </si>
  <si>
    <t>Registro Investigación de Accidente/DIAT</t>
  </si>
  <si>
    <t>Registro de investigacion de Accidente/DIAT</t>
  </si>
  <si>
    <t>Anaul</t>
  </si>
  <si>
    <t>Artículo 5.-</t>
  </si>
  <si>
    <t>Para los efectos de esta ley, se entenderá por "sustancias controladas" aquellas definidas como tales por el Protocolo de Montreal, relativo a las sustancias que agotan la capa de ozono, individualizadas en sus Anexos A, B, C y E, ya sea en estado puro o en mezclas.
    Para los efectos de esta ley, se entenderá por "productos controlados" todo equipo o tecnología, sea nuevo o usado, que contenga las sustancias señaladas en el inciso anterior, individualizados en el Anexo D del Protocolo de Montreal. Sin que la enumeración sea taxativa, se comprenden en esta categoría las unidades de aire acondicionado para vehículos motorizados, ya sea incorporadas o no a estos últimos, las unidades de aire acondicionado doméstico o industrial, los refrigeradores domésticos o industriales, las bombas de calor, los congeladores, los deshumificadores, los enfriadores de agua, las máquinas de fabricación de hielo, los paneles de aislamiento y los cobertores de tuberías, que contengan sustancias controladas</t>
  </si>
  <si>
    <t>Programa de implementacion de articulado</t>
  </si>
  <si>
    <t>Decreto Supremo N° 18 de 2020, del Ministerio del Trabajo y Previsión Social, Subsecretaría del Trabajo</t>
  </si>
  <si>
    <t>Programa condiciones especificas de seeguridad y salud</t>
  </si>
  <si>
    <t>DS 18 de 2020</t>
  </si>
  <si>
    <t>Lista de  clasificacion de enfermedades indicadas en DS109</t>
  </si>
  <si>
    <t>Se verifica Normativa aplicable y controles operacionales Ivonne Ruminot y Guillermo Tejo Abogado, remarcando comentarios en normativa a considerar.</t>
  </si>
  <si>
    <t>D.S. N° 148</t>
  </si>
  <si>
    <t>D.S. N° 594</t>
  </si>
  <si>
    <t xml:space="preserve">DFL N° 1 </t>
  </si>
  <si>
    <t>Res. Ex. N° 1930</t>
  </si>
  <si>
    <t>DEJA SIN EFECTO NORMA CHILENA 2190 DEL AÑO 1993 "SUSTANCIAS PELIGROSAS" Y APRUEBA LA NCH. N° 2190 DE 28.ENE.2019</t>
  </si>
  <si>
    <t>Decreto 44</t>
  </si>
  <si>
    <t>APRUEBA REGLAMENTO QUE ESTABLECE REQUISITOS DE SEGURIDAD Y ROTULACIÓN DE EXTINTORES PORTÁTILES</t>
  </si>
  <si>
    <t xml:space="preserve">NCH N° 1411 </t>
  </si>
  <si>
    <t>ESTABLECE NORMA DE EMISION PARA LA REGULACION DE CONTAMINANTES ASOCIADOS A LAS DESCARGAS DE RESIDUOS INDUSTRIALES LIQUIDOS A SISTEMAS DE ALCANTARILLADO</t>
  </si>
  <si>
    <t>art 152 trabajo modo trabajo a distancia o teletrabajo</t>
  </si>
  <si>
    <t>Res. Ex. N°1930 DEJA SIN EFECTO NORMA CHILENA 2190 DEL AÑO 1993 "SUSTANCIAS PELIGROSAS" Y APRUEBA LA NCH. N° 2190 DE 28.ENE.2019</t>
  </si>
  <si>
    <t xml:space="preserve"> Ámbito de Aplicación - El presente reglamento regulará las siguientes materias: 
a) Requisitos mínimos de rotulación y de seguridad que deben cumplir todos los extintores portátiles nuevos, tanto manuales como rodantes, de cualquier origen o procedencia, desde que se comercialicen por primera vez en el país</t>
  </si>
  <si>
    <t xml:space="preserve"> Ámbito de Aplicación - El presente reglamento regulará las siguientes materias: 
b) Requisitos de operación que deben cumplir los Servicios Técnicos de extintores portátiles</t>
  </si>
  <si>
    <t>D 44, APRUEBA REGLAMENTO QUE ESTABLECE REQUISITOS DE SEGURIDAD Y ROTULACIÓN DE EXTINTORES PORTÁTILES</t>
  </si>
  <si>
    <t>Compra y Recarga de Extintores, debe el servicio proporcionar la iconografia adecuada a la normativa vigente.</t>
  </si>
  <si>
    <t>Compra de licencias
Prohibición de instalacion de software no licenciado
Definición de usuario Administrador y usuario Normal en Equipos
Auditorias Software Externos</t>
  </si>
  <si>
    <t>Se verifica Normativa aplicable y controles operacionales Ivonne Ruminot y Guillermo Tejo Abogado, remarcando comentarios en normativa a considerar. Además se agrega Res Ex 719 de la Subsecretaría de Pesca</t>
  </si>
  <si>
    <t>VERIFICACIÓN</t>
  </si>
  <si>
    <t>Verificación de Controles Operacionales de Limpieza (Kit de Limpieza)</t>
  </si>
  <si>
    <t>S&amp;ST</t>
  </si>
  <si>
    <t>Titular</t>
  </si>
  <si>
    <t>Decreto Supremo N° 100</t>
  </si>
  <si>
    <t>Ministerio Secretaria General de la Presidencia</t>
  </si>
  <si>
    <t>Ley N° 16744</t>
  </si>
  <si>
    <t>Se verifican los distintos controles operacionales de toda la normativa aplicable y se verifica actualización de normas
Se elimina del Resumen DS 54 repetido
Se elimina del Resumen DS 44 repetido y tambien de una pestaña con detale tambien repetido
Se crean 2 columnas adicionales para separar en ellas Titular y fecha y/o año</t>
  </si>
  <si>
    <t>Ministerio del Trabajo y Previsión Social, Subsecretaría de Previsión Social</t>
  </si>
  <si>
    <t>Año Publicación</t>
  </si>
  <si>
    <t>Ministerio de Salud</t>
  </si>
  <si>
    <t>Ministerio del Trabajo y Previsión Social</t>
  </si>
  <si>
    <t>Ministerio de Transporte y telecomunicaciones; Subsecretaría de Transporte; Ministerio de Justicia; Subsecretaría de Justicia</t>
  </si>
  <si>
    <t>Ministerio de Economía, Fomento y Turismo</t>
  </si>
  <si>
    <t>Ministerio del Trabajo y Previsión Social; Subsecretaria de Previsión Social</t>
  </si>
  <si>
    <t>Ministerio de Salud Publica</t>
  </si>
  <si>
    <t>Ministerio de Salud; Subsecretaría de Salud Pública</t>
  </si>
  <si>
    <t>Ministerio de Hacienda</t>
  </si>
  <si>
    <t>Ministerio del Trabajo y Previsión Social; Subsecretaria del Trabajo</t>
  </si>
  <si>
    <t>Aprueba Reglamento del articulo 152 quater M del Código del trabajo. Que establece condiciones específicas de seguridad y salud en el trabajo a que deberán sujetarse los trabajadores que prestan servicios en las modalidades de trabajo a distancia o teletrabajo, de acuerdo con los principios y condiciones de la ley N° 16.744</t>
  </si>
  <si>
    <t>Ministerio de Obras Públicas</t>
  </si>
  <si>
    <t>Vigencia / última modificación</t>
  </si>
  <si>
    <t>Aplicación general / particular</t>
  </si>
  <si>
    <t>Área</t>
  </si>
  <si>
    <t>General, no sólo los artículos que se indican en el detalle</t>
  </si>
  <si>
    <t>10/12/2021, ley 21.400 (modifica diversos cuerpos legales para regular, en igualdad de condiciones, el matrimonio entre personas del mismo sexo)</t>
  </si>
  <si>
    <t xml:space="preserve">General  </t>
  </si>
  <si>
    <t>Vigente, versión única</t>
  </si>
  <si>
    <r>
      <t xml:space="preserve"> Desde que un residuo peligroso sale del establecimiento de generación deberá estar permanentemente acompañado del Documento de Declaración que      Será responsable del cumplimiento del presente artículo el actual tenedor de los residuos sin perjuicio de otras responsabilidades.</t>
    </r>
    <r>
      <rPr>
        <sz val="10"/>
        <color rgb="FFFF0000"/>
        <rFont val="Calibri"/>
        <family val="2"/>
        <scheme val="minor"/>
      </rPr>
      <t>corresponde emitir al generador.</t>
    </r>
  </si>
  <si>
    <t>General, siempre que la empresa almecene o transporte residuos que la norma contempla como peligrosos</t>
  </si>
  <si>
    <t>Ambiente</t>
  </si>
  <si>
    <t>General</t>
  </si>
  <si>
    <t>Revisión Área Legal dic-2023, ene-24</t>
  </si>
  <si>
    <t>Calidad/Ambiente</t>
  </si>
  <si>
    <r>
      <t xml:space="preserve">Art 6, </t>
    </r>
    <r>
      <rPr>
        <sz val="10"/>
        <color rgb="FFFF0000"/>
        <rFont val="Calibri"/>
        <family val="2"/>
        <scheme val="minor"/>
      </rPr>
      <t>inciso 1°</t>
    </r>
  </si>
  <si>
    <t>Vigente. Última modificación 20/06/2019, Decreto 10</t>
  </si>
  <si>
    <t>Vigente. Última modificación 07/11/2023, ley 21.626 (plebiscito constitucional; no aplica a DSS)</t>
  </si>
  <si>
    <t>Artículo 1</t>
  </si>
  <si>
    <t>El presente reglamento establece las condiciones sanitarias y ambientales básicas que deberá cumplir todo lugar de trabajo, sin perjuicio de la reglamentación específica que se haya dictado o se dicte para aquellas faenas que requieren condiciones especiales.
    Establece, además, los límites permisibles de exposición ambiental a agentes químicos y agentes físicos, y aquellos límites de tolerancia biológica para trabajadores expuestos a riesgo ocupacional.</t>
  </si>
  <si>
    <r>
      <t xml:space="preserve">Los Pavimentos y revestimientos de los piso serán, en general sólidos y no resbaladizos. En aquellos lugares de trabajo donde se almacene, fabriquen o manipulen productos toxicos corrosivos de cualquier naturaleza,los pisos deben ser de material resistente a estos, &lt;impermeables y no porosos de tal manera que faciliten un alimpieza oportuna y completa. Cuando las operaciones o el proceso exopngan a la humedad del piso, existiran sistemas de drenaje u otros dispositivos que protejan a las pesonas contra la humedad. </t>
    </r>
    <r>
      <rPr>
        <sz val="10"/>
        <color rgb="FFFF0000"/>
        <rFont val="Calibri"/>
        <family val="2"/>
        <scheme val="minor"/>
      </rPr>
      <t>Para efectos del presente reglamento se entenderá por sustancias tóxicas, corrosivas, peligrosas, infecciosas, radiactivas, venenosas, explosivas o inflamables aquellas definidas en la Norma Oficial NCh 382:2013.</t>
    </r>
  </si>
  <si>
    <r>
      <t>Todo lugar de trabajo debera contar con agua potable destinada al consumo humano y necesidades basicas de higiene y aseo personal de uso individual y colectivo. Las instalaciones, artefactos, canalizaciones y dispoositivos complementarios de los servicios de agua potable deberan cumpir con las disposiciones legales vigentes sobre la materia. Las redes de distribucion de aguas provenientes de abastecimientos distintos de la red publica de  agua potable, deberan ser totalmente independientes de esta ultima, sin interconexiones de ninguna especie</t>
    </r>
    <r>
      <rPr>
        <sz val="10"/>
        <color rgb="FFFF0000"/>
        <rFont val="Calibri"/>
        <family val="2"/>
        <scheme val="minor"/>
      </rPr>
      <t xml:space="preserve"> entre ambas.</t>
    </r>
  </si>
  <si>
    <r>
      <t xml:space="preserve"> En los lugares de trabajo donde laboren hombres y mujeres deberán existir servicios higiénicos independientes y separados. Será responsabilidad del empleador mantenerlos protegidos del ingreso de vectores de interés sanitario. </t>
    </r>
    <r>
      <rPr>
        <sz val="10"/>
        <color rgb="FFFF0000"/>
        <rFont val="Calibri"/>
        <family val="2"/>
        <scheme val="minor"/>
      </rPr>
      <t>Asimismo, deberá asegurar su buen estado de funcionamiento y limpieza de sus artefactos, así como disponer, en su interior, de jabón líquido para la limpieza de manos, de sistemas higiénicos desechables para el secado de manos y papel higiénico en cantidad suficiente. Los servicios higiénicos deberán contar con un sistema de ventilación natural o artificial.
    Sin perjuicio de lo dispuesto en el inciso primero, cuando el número total de trabajadores y trabajadoras sea de diez o menos, el empleador podrá habilitar un servicio higiénico de uso universal para hombres y mujeres, el que deberá contar con cierre interior y cumplir con las exigencias dispuestas en el inciso precedente.</t>
    </r>
  </si>
  <si>
    <r>
      <t xml:space="preserve">: El número mínimo de artefactos se calculará en base a la siguiente tabla:
N° de personas
que laboran por     Excusados
turno                        con taza de WC      Lavatorios     Duchas
1 - 10                         1                              1                     1
11 - 20                       2                              2                     2
21 - 30                       2                              2                     3
31 - 40                       3                              3                     4
41 - 50                       3                              3                     5
51 - 60                       4                              3                     6
61 - 70                       4                              3                     7
71 - 80                       5                              5                     8
81 - 90                       5                              5                     9
91 - 100                    6                              6                     10
</t>
    </r>
    <r>
      <rPr>
        <sz val="10"/>
        <color rgb="FFFF0000"/>
        <rFont val="Calibri"/>
        <family val="2"/>
        <scheme val="minor"/>
      </rPr>
      <t>Cuando existan más de cien trabajadores por turno se agregará un excusado y un lavatorio por cada quince y una ducha por cada diez trabajadores, esto último siempre que la naturaleza del trabajo corresponda a la indicada en el inciso segundo del artículo 21°. En caso de reemplazar los lavatorios individuales por colectivos se considerará el equivalente a una llave de agua por artefacto individual.
    En los servicios higiénicos para hombres, se podrá reemplazar el 50% de los excusados por urinarios individuales o colectivos y, en este último caso, la equivalencia será de 60 centímetros de longitud por urinario.</t>
    </r>
  </si>
  <si>
    <r>
      <t xml:space="preserve"> Todo lugar de trabajo donde el tipo de actividad requiera el cambio de ropa, deberá estar dotado de un recinto fijo o móvil destinado a vestidor, cuyo espacio interior deberá estar limpio y protegido de condiciones climáticas externas.</t>
    </r>
    <r>
      <rPr>
        <sz val="10"/>
        <color rgb="FFFF0000"/>
        <rFont val="Calibri"/>
        <family val="2"/>
        <scheme val="minor"/>
      </rPr>
      <t xml:space="preserve"> Cuando trabajen hombres y mujeres los vestidores deberán ser independientes y separados.
    En este recinto deberán disponerse los casilleros guardarropas, los que estarán en buenas condiciones, serán ventilados y en número igual al total de trabajadores ocupados en el trabajo o faena.</t>
    </r>
  </si>
  <si>
    <r>
      <t>Art. 27</t>
    </r>
    <r>
      <rPr>
        <sz val="10"/>
        <color rgb="FFFF0000"/>
        <rFont val="Calibri"/>
        <family val="2"/>
        <scheme val="minor"/>
      </rPr>
      <t>, incisos 1 y 2</t>
    </r>
  </si>
  <si>
    <t>Art. 37 inc. 1</t>
  </si>
  <si>
    <t>Deberá suprimirse en los lugares de trabajo cualquier factor de peligro que pueda afectar la salud o integridad física de los trabajadores</t>
  </si>
  <si>
    <r>
      <t xml:space="preserve">Art. 42, </t>
    </r>
    <r>
      <rPr>
        <sz val="10"/>
        <color rgb="FFFF0000"/>
        <rFont val="Calibri"/>
        <family val="2"/>
        <scheme val="minor"/>
      </rPr>
      <t>inciso 1</t>
    </r>
  </si>
  <si>
    <r>
      <t xml:space="preserve"> </t>
    </r>
    <r>
      <rPr>
        <sz val="10"/>
        <rFont val="Calibri"/>
        <family val="2"/>
      </rPr>
      <t>Para conducir maquinarias automotrices en los lugares de trabajo, como gruas, motoniveladoras, retroexcavadoras y otros similares, los trabajadores deberan poseer licencia de conducir de acuerdo a lo que exige la Ley de Transito</t>
    </r>
    <r>
      <rPr>
        <sz val="10"/>
        <color rgb="FFFF0000"/>
        <rFont val="Calibri"/>
        <family val="2"/>
        <scheme val="minor"/>
      </rPr>
      <t>. Las grúas, camiones y otros vehículos de carga y maquinaria móvil, deberán contar con alarma de retroceso de tipo sonoro.</t>
    </r>
  </si>
  <si>
    <r>
      <t xml:space="preserve">Art. 44 </t>
    </r>
    <r>
      <rPr>
        <sz val="10"/>
        <color rgb="FFFF0000"/>
        <rFont val="Calibri"/>
        <family val="2"/>
        <scheme val="minor"/>
      </rPr>
      <t>inc 1</t>
    </r>
  </si>
  <si>
    <t>Art 44 inc 3</t>
  </si>
  <si>
    <r>
      <t>El control de las fuentes de calor deberá adoptarse en todos aquellos lugares o procesos donde se cuente con equipos e instalaciones eléctricas,</t>
    </r>
    <r>
      <rPr>
        <sz val="14"/>
        <color rgb="FFFF0000"/>
        <rFont val="Courier New"/>
        <family val="3"/>
      </rPr>
      <t> </t>
    </r>
    <r>
      <rPr>
        <sz val="10"/>
        <color rgb="FFFF0000"/>
        <rFont val="Arial"/>
        <family val="2"/>
      </rPr>
      <t>maquinarias que puedan originar fricción,</t>
    </r>
    <r>
      <rPr>
        <sz val="14"/>
        <color rgb="FFFF0000"/>
        <rFont val="Courier New"/>
        <family val="3"/>
      </rPr>
      <t> </t>
    </r>
    <r>
      <rPr>
        <sz val="10"/>
        <color rgb="FFFF0000"/>
        <rFont val="Arial"/>
        <family val="2"/>
      </rPr>
      <t>chispas mecánicas o de combustión y/o superficies calientes,</t>
    </r>
    <r>
      <rPr>
        <sz val="14"/>
        <color rgb="FFFF0000"/>
        <rFont val="Courier New"/>
        <family val="3"/>
      </rPr>
      <t> </t>
    </r>
    <r>
      <rPr>
        <sz val="10"/>
        <color rgb="FFFF0000"/>
        <rFont val="Arial"/>
        <family val="2"/>
      </rPr>
      <t>cuidando que su diseño,</t>
    </r>
    <r>
      <rPr>
        <sz val="14"/>
        <color rgb="FFFF0000"/>
        <rFont val="Courier New"/>
        <family val="3"/>
      </rPr>
      <t> </t>
    </r>
    <r>
      <rPr>
        <sz val="10"/>
        <color rgb="FFFF0000"/>
        <rFont val="Arial"/>
        <family val="2"/>
      </rPr>
      <t>ubicación,</t>
    </r>
    <r>
      <rPr>
        <sz val="14"/>
        <color rgb="FFFF0000"/>
        <rFont val="Courier New"/>
        <family val="3"/>
      </rPr>
      <t> </t>
    </r>
    <r>
      <rPr>
        <sz val="10"/>
        <color rgb="FFFF0000"/>
        <rFont val="Arial"/>
        <family val="2"/>
      </rPr>
      <t>estado y condiciones de operación,</t>
    </r>
    <r>
      <rPr>
        <sz val="14"/>
        <color rgb="FFFF0000"/>
        <rFont val="Courier New"/>
        <family val="3"/>
      </rPr>
      <t> </t>
    </r>
    <r>
      <rPr>
        <sz val="10"/>
        <color rgb="FFFF0000"/>
        <rFont val="Arial"/>
        <family val="2"/>
      </rPr>
      <t>esté de acuerdo a la reglamentación vigente sobre la materia.</t>
    </r>
  </si>
  <si>
    <r>
      <t xml:space="preserve"> Todo lugar de trabajo en que exista algún riesgo de incendio</t>
    </r>
    <r>
      <rPr>
        <sz val="10"/>
        <rFont val="Calibri"/>
        <family val="2"/>
      </rPr>
      <t xml:space="preserve">, ya sea por la estructura del edificio por la naturaleza del trabajo que se realiza, deberá contar con extintores de incendio, del tipo adecuado a los materiales combustibles o inflamables que en el existan o se manipulen. El número total de extintores dependerá  de la superficie a proteger de acuerdo a lo señalado en el artículo 46°.  </t>
    </r>
    <r>
      <rPr>
        <sz val="10"/>
        <color rgb="FFFF0000"/>
        <rFont val="Calibri"/>
        <family val="2"/>
        <scheme val="minor"/>
      </rPr>
      <t>Los extintores deberán cumplir con los requisitos y características que establece el decreto supremo Nº 369, de 1996, del Ministerio de Economía, Fomento y Reconstrucción, o el que lo reemplace, y en lo no previsto por éste por las normas chilenas oficiales. Además, deberán estar certificados por un laboratorio acreditado de acuerdo a lo estipulado en dicho reglamento.</t>
    </r>
  </si>
  <si>
    <r>
      <t xml:space="preserve"> Los elementos de protección personal usados en los lugares de trabajo, sean éstos de procedencia nacional o extranjera, deberán cumplir con las normas y exigencias de calidad que rijan a tales artículos según su naturaleza, de conformidad a lo establecido en el decreto N°18, de 1982, del Ministerio de Salud</t>
    </r>
    <r>
      <rPr>
        <sz val="10"/>
        <color rgb="FFFF0000"/>
        <rFont val="Calibri"/>
        <family val="2"/>
        <scheme val="minor"/>
      </rPr>
      <t>, sobre Certificación de Calidad de Elementos de Protección Personal contra Riesgos Ocupacionales. Sin embargo, si no fuese posible aplicar dicho procedimiento, por la inexistencia de entidades certificadoras, el Instituto de Salud Pública de Chile podrá, transitoriamente, validar la certificación de origen.</t>
    </r>
  </si>
  <si>
    <r>
      <t xml:space="preserve">En caso en que una medicion representativa de las concentraciones de sustancias contaminantes existentes en el ambiente de trabajo o de la exposicion a agentes fisicos, demuestre que han sido sobrepasados los valores que que se establecen como limites permisibles, el empleador debera iniciar de inmediato las acciones necesarias para el control del riesgo en su origen. </t>
    </r>
    <r>
      <rPr>
        <sz val="10"/>
        <color rgb="FFFF0000"/>
        <rFont val="Calibri"/>
        <family val="2"/>
        <scheme val="minor"/>
      </rPr>
      <t>Si no es factible implementar la o las medidas preventivas en su totalidad, el empleador deberá proteger al trabajador del riesgo residual entregándole la protección personal de acuerdo a lo establecido en el artículo 53 del presente reglamento.
    En cualquier caso, el empleador será responsable de evitar que los trabajadores realicen su trabajo en condiciones de riesgo para su salud.</t>
    </r>
  </si>
  <si>
    <r>
      <t xml:space="preserve"> Se prohíbe la realización de trabajos, sin la protección personal correspondiente, en ambientes en que la atmósfera contenga menos de 18% de oxígeno. </t>
    </r>
    <r>
      <rPr>
        <sz val="10"/>
        <color rgb="FFFF0000"/>
        <rFont val="Calibri"/>
        <family val="2"/>
        <scheme val="minor"/>
      </rPr>
      <t>Sin embargo, deberá considerarse que la disponibilidad real de oxígeno depende de la presión parcial de esta sustancia.</t>
    </r>
  </si>
  <si>
    <r>
      <t xml:space="preserve">Las concentraciones ambientales de las sustancias capaces de causar rápidamente efectos narcóticos, cáusticos o tóxicos, de carácter grave o fatal, no podrán exceder en ningún momento los límites permisibles absolutos siguientes: (Ver </t>
    </r>
    <r>
      <rPr>
        <sz val="10"/>
        <color rgb="FFFF0000"/>
        <rFont val="Calibri"/>
        <family val="2"/>
        <scheme val="minor"/>
      </rPr>
      <t xml:space="preserve">tabla del </t>
    </r>
    <r>
      <rPr>
        <sz val="10"/>
        <rFont val="Calibri"/>
        <family val="2"/>
        <scheme val="minor"/>
      </rPr>
      <t>Art. 61 DS 594)</t>
    </r>
  </si>
  <si>
    <r>
      <t xml:space="preserve"> El potencial de extinción mínimo por superficie de cubrimiento y distancia de traslado será el indicado en la siguiente tabla</t>
    </r>
    <r>
      <rPr>
        <sz val="10"/>
        <color rgb="FFFF0000"/>
        <rFont val="Calibri"/>
        <family val="2"/>
        <scheme val="minor"/>
      </rPr>
      <t xml:space="preserve"> (ver tabla del artículo 46 DS 594)</t>
    </r>
    <r>
      <rPr>
        <sz val="10"/>
        <rFont val="Calibri"/>
        <family val="2"/>
        <scheme val="minor"/>
      </rPr>
      <t>. El número mínimo de extintores deberá determinarse dividiendo la superficie a proteger por la superficie de cubrimiento máxima del extintor indicada en la tabla precedente y aproximando el valor resultante al entero superior. Este número de extintores deberá distribuirse en la superficie a proteger de modo tal que desde cualquier punto, el recorrido hasta el equipo más cercano no supere la distancia máxima de traslado correspondiente. Podrán utilizarse extintores de menor capacidad que los señalados en la tabla precedente, pero en cantidad tal que su contenido alcance el potencial mínimo exigido, de acuerdo a la correspondiente superficie de cubrimiento máxima por extintor.
En caso de existir riesgo de fuego clase B, el potencial mínimo exigido para cada extintor será 10B, con excepción de aquellas zonas de almacenamiento de combustible en las que el potencial mínimo exigido será 40 B.</t>
    </r>
  </si>
  <si>
    <r>
      <t xml:space="preserve">Niveles de presión sonora continua equivalentes, diferentes a 85 dB(A) lento, se permitirán siempre que el tiempo de exposición a ruido del trabajador no exceda los valores indicados en la siguiente tabla: (Ver </t>
    </r>
    <r>
      <rPr>
        <sz val="10"/>
        <color rgb="FFFF0000"/>
        <rFont val="Calibri"/>
        <family val="2"/>
        <scheme val="minor"/>
      </rPr>
      <t>tabla del</t>
    </r>
    <r>
      <rPr>
        <sz val="10"/>
        <rFont val="Calibri"/>
        <family val="2"/>
        <scheme val="minor"/>
      </rPr>
      <t xml:space="preserve"> Art. 75 DS 594)
Estos valores se entenderán para trabajadores expuestos sin protección auditiva personal.</t>
    </r>
  </si>
  <si>
    <t>A los trabajadores expuestos al frio debera entregárseles ropa adecuada, la cual sera no muy ajustada y facilmente desabrochable y sacable.La ropa exterior en contacto con el medio debera ser de material aislante.</t>
  </si>
  <si>
    <r>
      <t>Todo lugar de trabajo con excepción de faenas mineras subterráneas o similares deberán estar iluminadas con luz natural o artificial que dependerá de la faena o actividad que en él se realice. El valor mínimo de la iluminación promedio será la que se indica a continuación (</t>
    </r>
    <r>
      <rPr>
        <sz val="10"/>
        <color rgb="FFFF0000"/>
        <rFont val="Calibri"/>
        <family val="2"/>
        <scheme val="minor"/>
      </rPr>
      <t>ver tabla artículo 103 DS 594</t>
    </r>
    <r>
      <rPr>
        <sz val="10"/>
        <rFont val="Calibri"/>
        <family val="2"/>
        <scheme val="minor"/>
      </rPr>
      <t>).</t>
    </r>
  </si>
  <si>
    <r>
      <t xml:space="preserve">Art.109 </t>
    </r>
    <r>
      <rPr>
        <sz val="10"/>
        <color rgb="FFFF0000"/>
        <rFont val="Calibri"/>
        <family val="2"/>
        <scheme val="minor"/>
      </rPr>
      <t>a</t>
    </r>
  </si>
  <si>
    <r>
      <rPr>
        <b/>
        <sz val="10"/>
        <rFont val="Calibri"/>
        <family val="2"/>
      </rPr>
      <t>A.-</t>
    </r>
    <r>
      <rPr>
        <sz val="10"/>
        <rFont val="Calibri"/>
        <family val="2"/>
      </rPr>
      <t xml:space="preserve"> Se consideran expuestos a radiación UV aquellos trabajadores que ejecutan labores sometidos a radiación solar directa en días comprendidos entre el 1° de septiembre y el 31 de marzo, entre las 10.00 y las 17.00 horas, y aquellos que desempeñan funciones habituales bajo radiación UV solar directa con un índice UV igual o superior a 6, en cualquier época del año. </t>
    </r>
    <r>
      <rPr>
        <sz val="10"/>
        <color rgb="FFFF0000"/>
        <rFont val="Calibri"/>
        <family val="2"/>
      </rPr>
      <t>El índice UV proyectado máximo diario debe ser corregido según las variables latitud, nubosidad, altitud y elementos reflectantes o absorbentes, según información proporcionada por la Dirección Metereológica de Chile.</t>
    </r>
  </si>
  <si>
    <r>
      <t xml:space="preserve">Art.109 </t>
    </r>
    <r>
      <rPr>
        <sz val="10"/>
        <color rgb="FFFF0000"/>
        <rFont val="Calibri"/>
        <family val="2"/>
        <scheme val="minor"/>
      </rPr>
      <t>b</t>
    </r>
  </si>
  <si>
    <r>
      <rPr>
        <b/>
        <sz val="10"/>
        <rFont val="Calibri"/>
        <family val="2"/>
      </rPr>
      <t>B.-</t>
    </r>
    <r>
      <rPr>
        <sz val="10"/>
        <rFont val="Calibri"/>
        <family val="2"/>
      </rPr>
      <t xml:space="preserve"> Los empleadores de trabajadores expuestos deben realizar la gestión del riesgo de radiación UV adoptando medidas de control adecuadas.                                                                                                                                        </t>
    </r>
    <r>
      <rPr>
        <sz val="10"/>
        <color rgb="FFFF0000"/>
        <rFont val="Calibri"/>
        <family val="2"/>
      </rPr>
      <t xml:space="preserve">Deberán tomar, a lo menos, las siguientes medidas:                                                                                                           </t>
    </r>
    <r>
      <rPr>
        <sz val="10"/>
        <rFont val="Calibri"/>
        <family val="2"/>
      </rPr>
      <t xml:space="preserve"> </t>
    </r>
    <r>
      <rPr>
        <sz val="10"/>
        <color rgb="FFFF0000"/>
        <rFont val="Calibri"/>
        <family val="2"/>
      </rPr>
      <t>a) Informar a los trabajadores sobre los riesgos específicos de exposición laboral a radiación UV de origen solar y sus medidas de control en los siguientes términos: "La exposición excesiva y/o acumulada de radiación ultravioleta de fuentes naturales o artificiales produce efectos dañinos a corto y largo plazo, principalmente en ojos y piel que van desde quemaduras solares, queratitis actínica y alteraciones de la respuesta inmune hasta fotoenvejecimiento, tumores malignos de piel y cataratas a nivel ocular."
    b) Publicar diariamente en un lugar visible el índice UV estimado señalado por la Dirección Meteorologica de Chile y las medidas de control que se deben aplicar, incluidos los elementos de protección personal.
    c) Identificar los trabajadores expuestos; detectar los puestos de trabajo e individuos que requieran medidas de protección adicionales y verificar la efectividad de las medidas implementadas a su respecto.
    d) Las medidas específicas de control a implementar, según exposición, son las siguientes, las que deberán emplearse siguiendo las indicaciones señaladas en la Guía Técnica de Radiación UV de Origen Solar dictada por el Ministerio de Salud mediante decreto emitido bajo la fórmula "Por Orden del Presidente de la República":
    * Ingeniería: realizar un adecuado sombraje de los lugares de trabajo para disminuir la exposición directa a la radiación UV tales como techar, arborizar, mallas oscuras y de trama tupida, parabrisas adecuados;
    * Administrativas: si la labor lo permite, calendarizar faenas, horarios de colación entre 13:00 y las 15:00hrs en lugares con sombraje adecuado, rotación de puestos de trabajo con la disminución de tiempo de exposición;
    * Elementos de protección personal, según el grado de exposición, tales como gorros, lentes, factor de protección solar;
    e) Mantener un programa de instrucción teórico práctico para los trabajadores, de duración mínima de una hora cronológica semestral, sobre el riesgo y consecuencias para la salud por la exposición a radiación UV solar y medidas preventivas a considerar, entre otros. Este programa debe constar por escrito.</t>
    </r>
  </si>
  <si>
    <t>Vigente. Última modificación ley 21.601 (modifica la ley de tránsito para prevenir la venta de vehículos motorizados robados y sancionar las conductas que indica)</t>
  </si>
  <si>
    <t>Calidad / S&amp;ST</t>
  </si>
  <si>
    <t>Ministerio de Defensa Nacional; Subsecretaría de Defensa; Dirección General de Movilización Nacional</t>
  </si>
  <si>
    <r>
      <t xml:space="preserve"> </t>
    </r>
    <r>
      <rPr>
        <sz val="10"/>
        <rFont val="Calibri"/>
        <family val="2"/>
      </rPr>
      <t xml:space="preserve">Ninguna persona podrá conducir un vehículo motorizado o a tracción animal, sin poseer una licencia expedida por el Director del Departamento de Tránsito y Transporte Público Municipal de una Municipalidad autorizada al efecto; o un permiso provisional que los Tribunales podrán otorgar sólo a los conductores que tengan su licencia retenida por proceso pendiente; o una boleta de citación al Juzgado, dada por los funcionarios a que se refiere el artículo 4° en reemplazo de la licencia o del permiso referido; o algún documento extendido en el extranjero y con validez en Chile en virtud de tratados o acuerdos internacionales </t>
    </r>
    <r>
      <rPr>
        <sz val="10"/>
        <color rgb="FFFF0000"/>
        <rFont val="Calibri"/>
        <family val="2"/>
      </rPr>
      <t>en que Chile sea parte</t>
    </r>
    <r>
      <rPr>
        <sz val="10"/>
        <rFont val="Calibri"/>
        <family val="2"/>
      </rPr>
      <t xml:space="preserve">. Los documentos antes indicados otorgados en el país, son instrumentos públicos. Se exceptúa de la exigencia establecida en el inciso primero de este artículo a los alumnos en práctica de las escuelas de conductores que, acompañados de un instructor habilitado, lo hagan en vehículos de la escuela. </t>
    </r>
  </si>
  <si>
    <r>
      <t xml:space="preserve">Art. 5, </t>
    </r>
    <r>
      <rPr>
        <sz val="10"/>
        <color rgb="FFFF0000"/>
        <rFont val="Calibri"/>
        <family val="2"/>
        <scheme val="minor"/>
      </rPr>
      <t>incisos 1, 4 y 5</t>
    </r>
  </si>
  <si>
    <t>Art. 7</t>
  </si>
  <si>
    <t>Se prohíbe al propietario o encargado de un vehículo motorizado o a tracción animal facilitarlo a una persona que no posea licencia para conducirlo. Si se sorprendiere conduciendo un vehículo motorizado o a tracción animal a quien no porte los documentos a que se refiere el artículo anterior, Carabineros podrá retirar el vehículo de circulación para ser puesto a disposición del tribunal competente, para la aplicación de las sanciones que correspondan. Si antes de enviarse el parte al respectivo tribunal, lo que no podrá ocurrir sino pasadas cuarenta y ocho horas, el conductor acredita ante Carabineros poseer la documentación adecuada y vigente, se le devolverá el vehículo, cursándose la infracción correspondiente.</t>
  </si>
  <si>
    <r>
      <t xml:space="preserve">Los propietarios o encargados de vehículos </t>
    </r>
    <r>
      <rPr>
        <sz val="10"/>
        <color rgb="FFFF0000"/>
        <rFont val="Calibri"/>
        <family val="2"/>
        <scheme val="minor"/>
      </rPr>
      <t xml:space="preserve">motorizados y a tracción animal </t>
    </r>
    <r>
      <rPr>
        <sz val="10"/>
        <rFont val="Calibri"/>
        <family val="2"/>
        <scheme val="minor"/>
      </rPr>
      <t>no podrán celebrar actos o contratos que impliquen la conducción de esos vehículos por persona que no tenga una licencia vigente para conducir la clase de vehículo de que se trate</t>
    </r>
  </si>
  <si>
    <r>
      <t>Artículo 8</t>
    </r>
    <r>
      <rPr>
        <sz val="10"/>
        <color rgb="FFFF0000"/>
        <rFont val="Arial"/>
        <family val="2"/>
      </rPr>
      <t>, inciso 1</t>
    </r>
  </si>
  <si>
    <r>
      <t xml:space="preserve">Artículo </t>
    </r>
    <r>
      <rPr>
        <sz val="10"/>
        <color rgb="FFFF0000"/>
        <rFont val="Arial"/>
        <family val="2"/>
      </rPr>
      <t>61</t>
    </r>
  </si>
  <si>
    <r>
      <t xml:space="preserve"> Los vehículos deberán estar provistos de los sistemas y accesorios que la ley establece, los que deberán estar en perfecto estado de funcionamiento, de manera que permitan al conductor maniobrar con seguridad. </t>
    </r>
    <r>
      <rPr>
        <sz val="10"/>
        <color rgb="FFFF0000"/>
        <rFont val="Calibri"/>
        <family val="2"/>
        <scheme val="minor"/>
      </rPr>
      <t>El remolque de vehículos motorizados deberá efectuarse en las condiciones que determine el reglamento.</t>
    </r>
  </si>
  <si>
    <r>
      <t xml:space="preserve">Artículo </t>
    </r>
    <r>
      <rPr>
        <sz val="10"/>
        <color rgb="FFFF0000"/>
        <rFont val="Arial"/>
        <family val="2"/>
      </rPr>
      <t>62, primera parte inciso 1</t>
    </r>
    <r>
      <rPr>
        <sz val="10"/>
        <rFont val="Arial"/>
        <family val="2"/>
      </rPr>
      <t>.-</t>
    </r>
  </si>
  <si>
    <t>Los vehículos motorizados deberán contar con su placa patente única grabada, de forma permanente, en sus vidrios y espejos laterales. Un reglamento del Ministerio de Transportes y Telecomunicaciones deberá establecer las características de este grabado.</t>
  </si>
  <si>
    <t>Artículo 62, inciso 3</t>
  </si>
  <si>
    <r>
      <t xml:space="preserve">Artículo </t>
    </r>
    <r>
      <rPr>
        <sz val="10"/>
        <color rgb="FFFF0000"/>
        <rFont val="Arial"/>
        <family val="2"/>
      </rPr>
      <t>64</t>
    </r>
    <r>
      <rPr>
        <sz val="10"/>
        <rFont val="Arial"/>
        <family val="2"/>
      </rPr>
      <t>.</t>
    </r>
  </si>
  <si>
    <r>
      <t xml:space="preserve">El transporte de carga deberá efectuarse en las condiciones de seguridad que determinen los reglamentos y en vehículos que reúnan los requisitos que aquellos contemplen. </t>
    </r>
    <r>
      <rPr>
        <sz val="10"/>
        <color rgb="FFFF0000"/>
        <rFont val="Calibri"/>
        <family val="2"/>
        <scheme val="minor"/>
      </rPr>
      <t>Todo vehículo que transporte carga de terceros debe justificarla con la carta de porte a que se refieren los artículos 173º y siguientes del Código de Comercio. La infracción a lo dispuesto en este inciso, será sancionada con multa de 3 a 10 unidades tributarias mensuales, quedando obligados solidariamente a su pago el conductor infractor, el porteador y el cargador.</t>
    </r>
  </si>
  <si>
    <r>
      <t>Artículo</t>
    </r>
    <r>
      <rPr>
        <sz val="10"/>
        <color rgb="FFFF0000"/>
        <rFont val="Arial"/>
        <family val="2"/>
      </rPr>
      <t xml:space="preserve"> 65</t>
    </r>
  </si>
  <si>
    <t>Artículo 67</t>
  </si>
  <si>
    <t>En los vehículos motorizados de carga no se podrá transportar personas en los espacios destinados a carga, cualquiera que sea la clase de vehículo, salvo en casos justificados, y adoptando las medidas de seguridad apropiadas.   En ningún caso los vehículos motorizados de tres ruedas destinados al transporte de carga podrán transportar personas en los espacios destinados a carga.</t>
  </si>
  <si>
    <t>Los vehículos motorizados deberán estar equipados con neumáticos en buen estado. No podrán circular aquellos cuyos neumáticos tengan sus bandas de rodadura desgastadas o hayan perdido sus condiciones de adherencia al pavimento, ni con reparaciones que afecten la seguridad del tránsito.</t>
  </si>
  <si>
    <r>
      <t xml:space="preserve">Artículo </t>
    </r>
    <r>
      <rPr>
        <sz val="10"/>
        <color rgb="FFFF0000"/>
        <rFont val="Arial"/>
        <family val="2"/>
      </rPr>
      <t>6</t>
    </r>
    <r>
      <rPr>
        <sz val="10"/>
        <rFont val="Arial"/>
        <family val="2"/>
      </rPr>
      <t>9.-</t>
    </r>
  </si>
  <si>
    <r>
      <t xml:space="preserve">Artículo </t>
    </r>
    <r>
      <rPr>
        <sz val="10"/>
        <color rgb="FFFF0000"/>
        <rFont val="Arial"/>
        <family val="2"/>
      </rPr>
      <t>70</t>
    </r>
    <r>
      <rPr>
        <sz val="10"/>
        <rFont val="Arial"/>
        <family val="2"/>
      </rPr>
      <t>.-</t>
    </r>
  </si>
  <si>
    <t xml:space="preserve"> Los conductores y los peatones están obligados a obedecer y respetar las señales de tránsito, salvo que reciban instrucciones en contrario de un carabinero o que se trate de las excepciones contempladas en esta ley para vehículos de emergencia.</t>
  </si>
  <si>
    <r>
      <t>Artículo 101,</t>
    </r>
    <r>
      <rPr>
        <sz val="10"/>
        <color rgb="FFFF0000"/>
        <rFont val="Arial"/>
        <family val="2"/>
      </rPr>
      <t xml:space="preserve"> inciso 1</t>
    </r>
  </si>
  <si>
    <r>
      <t>Artículo 1</t>
    </r>
    <r>
      <rPr>
        <sz val="10"/>
        <color rgb="FFFF0000"/>
        <rFont val="Arial"/>
        <family val="2"/>
      </rPr>
      <t>07</t>
    </r>
  </si>
  <si>
    <r>
      <t xml:space="preserve"> Todo conductor deberá mantener el control de su vehículo durante la circulación y conducirlo conforme a las normas de seguridad determinadas en esta ley, sin que motivo alguno justifique el desconocimiento o incumplimiento de ellas. </t>
    </r>
    <r>
      <rPr>
        <sz val="10"/>
        <color rgb="FFFF0000"/>
        <rFont val="Calibri"/>
        <family val="2"/>
        <scheme val="minor"/>
      </rPr>
      <t>Asimismo, los conductores estarán obligados a mantenerse atentos a las condiciones del tránsito del momento.
    Se prohíbe llevar abiertas las puertas del vehículo, abrirlas antes de su completa detención o abrirlas, mantenerlas abiertas o descender del mismo sin haberse cerciorado previamente de que ello no implica entorpecimiento o peligro para otros usuarios.</t>
    </r>
  </si>
  <si>
    <r>
      <t>Artículo 1</t>
    </r>
    <r>
      <rPr>
        <sz val="10"/>
        <color rgb="FFFF0000"/>
        <rFont val="Arial"/>
        <family val="2"/>
      </rPr>
      <t>08</t>
    </r>
    <r>
      <rPr>
        <sz val="10"/>
        <rFont val="Arial"/>
        <family val="2"/>
      </rPr>
      <t>.-</t>
    </r>
  </si>
  <si>
    <r>
      <t>Artículo 1</t>
    </r>
    <r>
      <rPr>
        <sz val="10"/>
        <color rgb="FFFF0000"/>
        <rFont val="Arial"/>
        <family val="2"/>
      </rPr>
      <t>09, inciso 1</t>
    </r>
    <r>
      <rPr>
        <sz val="10"/>
        <rFont val="Arial"/>
        <family val="2"/>
      </rPr>
      <t>.-</t>
    </r>
  </si>
  <si>
    <r>
      <t xml:space="preserve">Se prohíbe, al conductor y a los pasajeros, el consumo de bebidas alcohólicas en el interior de vehículos motorizados. </t>
    </r>
    <r>
      <rPr>
        <sz val="10"/>
        <color rgb="FFFF0000"/>
        <rFont val="Calibri"/>
        <family val="2"/>
        <scheme val="minor"/>
      </rPr>
      <t>Se prohíbe, asimismo, la conducción de cualquier vehículo o medio de transporte, la operación de cualquier tipo de maquinaria o el desempeño de las funciones de guardafrenos, cambiadores o controladores de tránsito, ejecutados en estado de ebriedad, bajo la influencia de sustancias estupefacientes o sicotrópicas, o bajo la influencia del alcohol.</t>
    </r>
  </si>
  <si>
    <r>
      <t>Artículo 11</t>
    </r>
    <r>
      <rPr>
        <sz val="10"/>
        <color rgb="FFFF0000"/>
        <rFont val="Arial"/>
        <family val="2"/>
      </rPr>
      <t>0</t>
    </r>
    <r>
      <rPr>
        <sz val="10"/>
        <rFont val="Arial"/>
        <family val="2"/>
      </rPr>
      <t xml:space="preserve">.- </t>
    </r>
  </si>
  <si>
    <r>
      <t xml:space="preserve"> Artículo 11</t>
    </r>
    <r>
      <rPr>
        <sz val="10"/>
        <color rgb="FFFF0000"/>
        <rFont val="Arial"/>
        <family val="2"/>
      </rPr>
      <t>1</t>
    </r>
    <r>
      <rPr>
        <sz val="10"/>
        <rFont val="Arial"/>
        <family val="2"/>
      </rPr>
      <t>.-</t>
    </r>
  </si>
  <si>
    <r>
      <t xml:space="preserve"> Para la determinación del estado de ebriedad del imputado o del hecho de encontrarse bajo la influencia del alcohol, el tribunal podrá considerar todos los medios de prueba, evaluando especialmente el estado general del imputado en relación con el control de sus sentidos, como también el nivel de alcohol presente en el flujo sanguíneo, que conste 
en el informe de alcoholemia o en el resultado de la prueba respiratoria que hubiera sido practicada por Carabineros.  </t>
    </r>
    <r>
      <rPr>
        <sz val="10"/>
        <color rgb="FFFF0000"/>
        <rFont val="Calibri"/>
        <family val="2"/>
        <scheme val="minor"/>
      </rPr>
      <t>Sin perjuicio de lo anterior, se entenderá que hay desempeño en estado de ebriedad cuando el informe o prueba arroje una dosificación igual o superior a 0,8 gramos por mil de alcohol en la sangre o en el organismo.
    Se entenderá que hay desempeño bajo la influencia del alcohol cuando el informe o prueba arroje una dosificación superior a 0,3 e inferior a 0,8 gramos por mil de alcohol en la sangre. Si la dosificación fuere menor, se estará a lo establecido en el artículo 109 y en el Nº 1 del artículo 200, si correspondiere.</t>
    </r>
  </si>
  <si>
    <r>
      <t>Artículo 11</t>
    </r>
    <r>
      <rPr>
        <sz val="10"/>
        <color rgb="FFFF0000"/>
        <rFont val="Arial"/>
        <family val="2"/>
      </rPr>
      <t>2</t>
    </r>
    <r>
      <rPr>
        <sz val="10"/>
        <rFont val="Arial"/>
        <family val="2"/>
      </rPr>
      <t xml:space="preserve">.- </t>
    </r>
  </si>
  <si>
    <r>
      <t>Artículo 14</t>
    </r>
    <r>
      <rPr>
        <sz val="10"/>
        <color rgb="FFFF0000"/>
        <rFont val="Arial"/>
        <family val="2"/>
      </rPr>
      <t>4, inciso 1</t>
    </r>
    <r>
      <rPr>
        <sz val="10"/>
        <rFont val="Arial"/>
        <family val="2"/>
      </rPr>
      <t>.-</t>
    </r>
  </si>
  <si>
    <r>
      <t xml:space="preserve"> Artículo 1</t>
    </r>
    <r>
      <rPr>
        <sz val="10"/>
        <color rgb="FFFF0000"/>
        <rFont val="Calibri"/>
        <family val="2"/>
        <scheme val="minor"/>
      </rPr>
      <t>65</t>
    </r>
    <r>
      <rPr>
        <sz val="10"/>
        <rFont val="Calibri"/>
        <family val="2"/>
        <scheme val="minor"/>
      </rPr>
      <t xml:space="preserve">.- </t>
    </r>
  </si>
  <si>
    <r>
      <t xml:space="preserve"> En los accidentes del tránsito, constituyen presunción de responsabilidad del conductor, los casos</t>
    </r>
    <r>
      <rPr>
        <sz val="10"/>
        <color rgb="FFFF0000"/>
        <rFont val="Calibri"/>
        <family val="2"/>
        <scheme val="minor"/>
      </rPr>
      <t xml:space="preserve"> que el artículo 167 de la Ley de Tránsito señala (ver norma citada)</t>
    </r>
  </si>
  <si>
    <r>
      <t>Artículo 1</t>
    </r>
    <r>
      <rPr>
        <sz val="10"/>
        <color rgb="FFFF0000"/>
        <rFont val="Calibri"/>
        <family val="2"/>
        <scheme val="minor"/>
      </rPr>
      <t>67</t>
    </r>
    <r>
      <rPr>
        <sz val="10"/>
        <rFont val="Calibri"/>
        <family val="2"/>
        <scheme val="minor"/>
      </rPr>
      <t>.-</t>
    </r>
  </si>
  <si>
    <r>
      <t>Artículo 1</t>
    </r>
    <r>
      <rPr>
        <sz val="10"/>
        <color rgb="FFFF0000"/>
        <rFont val="Calibri"/>
        <family val="2"/>
        <scheme val="minor"/>
      </rPr>
      <t>69, inciso 1</t>
    </r>
    <r>
      <rPr>
        <sz val="10"/>
        <rFont val="Calibri"/>
        <family val="2"/>
        <scheme val="minor"/>
      </rPr>
      <t>.-</t>
    </r>
  </si>
  <si>
    <r>
      <t>Artículo 17</t>
    </r>
    <r>
      <rPr>
        <sz val="10"/>
        <color rgb="FFFF0000"/>
        <rFont val="Calibri"/>
        <family val="2"/>
        <scheme val="minor"/>
      </rPr>
      <t>0, inciso 1</t>
    </r>
    <r>
      <rPr>
        <sz val="10"/>
        <rFont val="Calibri"/>
        <family val="2"/>
        <scheme val="minor"/>
      </rPr>
      <t xml:space="preserve">.- </t>
    </r>
  </si>
  <si>
    <r>
      <t xml:space="preserve">Establece disposiciones sobre los distintivos de seguridad con que deben identificarse los riesgos que presentan las sustancias peligrosas, incluyendo requisitos sobre: características de las marcas, etiquetas y rotulos, uso de ellos, exepciones en el uso y lugares en que deben ser colocados. </t>
    </r>
    <r>
      <rPr>
        <sz val="10"/>
        <color rgb="FFFF0000"/>
        <rFont val="Calibri"/>
        <family val="2"/>
        <scheme val="minor"/>
      </rPr>
      <t xml:space="preserve">Esta norma se aplica en el transporte de las sustancias peligrosas definidas en NCh382 y NCh2120/1 a NCh2120/9, por vía terrestre, dentro del país y para el comercio de importación/exportación, así como en la manipulación y  almacenamiento en tránsito de estas sustancias.
NOTA - En nuestro país el transporte de Sustancias Peligrosas por vía marítima y aérea está regulado por el
DS 777/1978 y el DS 746/1989 respectivamente, ambos del Ministerio de Defensa Nacional. </t>
    </r>
  </si>
  <si>
    <t>General, siempre que empresa transporte sustancias peligrosas definidas en NCh382 y NCh2120/1 a NCh2120/9</t>
  </si>
  <si>
    <t>Vigente. Última modificación 31-03-2020, Decreto 24</t>
  </si>
  <si>
    <r>
      <t xml:space="preserve">Artículo 1, </t>
    </r>
    <r>
      <rPr>
        <sz val="10"/>
        <color rgb="FFFF0000"/>
        <rFont val="Calibri"/>
        <family val="2"/>
        <scheme val="minor"/>
      </rPr>
      <t>letra a)</t>
    </r>
    <r>
      <rPr>
        <sz val="10"/>
        <rFont val="Calibri"/>
        <family val="2"/>
        <scheme val="minor"/>
      </rPr>
      <t>.-</t>
    </r>
  </si>
  <si>
    <r>
      <t xml:space="preserve">Artículo 1, </t>
    </r>
    <r>
      <rPr>
        <sz val="10"/>
        <color rgb="FFFF0000"/>
        <rFont val="Calibri"/>
        <family val="2"/>
        <scheme val="minor"/>
      </rPr>
      <t>letra b)</t>
    </r>
    <r>
      <rPr>
        <sz val="10"/>
        <rFont val="Calibri"/>
        <family val="2"/>
        <scheme val="minor"/>
      </rPr>
      <t>.-</t>
    </r>
  </si>
  <si>
    <t>Vigente. Última modificación 30-06-2023, Decreto 24</t>
  </si>
  <si>
    <r>
      <t xml:space="preserve">Completo digital. </t>
    </r>
    <r>
      <rPr>
        <sz val="10"/>
        <color rgb="FFFF0000"/>
        <rFont val="Calibri"/>
        <family val="2"/>
        <scheme val="minor"/>
      </rPr>
      <t>La presente  ley modifica al Código del Trabajo, entre sus objetivos, tiende a evitar el ausentismo laboral causado por dolor lumbar, para lo cual actualiza la normativa de protección de la salud y de las condiciones físicas de los trabajadores que desarrollan labores de manipulación manual, reduciendo el peso en las operaciones de carga y descarga, de 50 a 25 kilogramos. Asimismo, establece que los menores de 18 años y las mujeres no podrán llevar o transportar carga superiores a 20 kilogramos.</t>
    </r>
  </si>
  <si>
    <t>Este Reglamento tiene por objeto regular la normativa sobre: a) La exposición a los riesgos a la salud o a las condiciones físicas de los trabajadores, regidos por el Código del Trabajo, que efectúen manipulación manual inevitable de carga y descarga, y b) Las obligaciones del empleador, en la prevención, control, reducción y protección de los riesgos a los trabajadores que realizan estas labores.</t>
  </si>
  <si>
    <t>Vigente. Última modificación 17-01-2018, decreto 48</t>
  </si>
  <si>
    <t>Instituto Nacional de Normalización</t>
  </si>
  <si>
    <t>Vigente parcial. Decreto N° 90. Ministerio de Transportes y Telecomunicaciones del 9-06-1993, nula y reemplaza la Norma NCh 1411/V.Of79- Prevención de riesgos - Parte V: Rotulado para el transporte marítimo de mercaderías peligrosas, declarada Oficial de la República de Chile, por Decreto N° 47 de 1979, del Ministerio de Salud.</t>
  </si>
  <si>
    <t>Ministerio del Trabajo y Previsión Social; Subsecretaría del Trabajo</t>
  </si>
  <si>
    <t>Introduce modificaciones al Código del Trabajo tipificando y sancionando el acoso sexual; y estableciendo el procedimiento para la investigación y sanción del acoso sexual</t>
  </si>
  <si>
    <t>Ministerio Secretaría General de la Presidencia</t>
  </si>
  <si>
    <t>Las disposiciones de esta ley establecen y regulan los mecanismos de control aplicables a las sustancias agotadoras de la capa de ozono estratosférico y a los productos cuyo funcionamiento requiera del uso de dichas sustancias, las medidas destinadas a la prevención, protección y evaluación de los efectos producidos por el deterioro de la capa de ozono, por la exposición a la radiación ultravioleta, y las sanciones aplicables a quienes infrinjan dichas normas.</t>
  </si>
  <si>
    <t>Vigente. Última modificación 07-03-2006, Decreto 73</t>
  </si>
  <si>
    <t>Vigente. Última versión 06-09-1995</t>
  </si>
  <si>
    <t xml:space="preserve">                  </t>
  </si>
  <si>
    <t>Declárase Norma Oficial de la República de Chile la siguiente: NCh2245.Of2003    Sustancias químicas - Hojas de datos de seguridad - Requisitos.</t>
  </si>
  <si>
    <t>Ambiente / S&amp;ST</t>
  </si>
  <si>
    <t>Intercálase el siguiente inciso segundo, nuevo, en el artículo 195 del Código del Trabajo, pasando los actuales incisos segundo, tercero, cuarto y quinto, a ser incisos tercero, cuarto, quinto y sexto, respectivamente: "Sin perjuicio del permiso establecido en el artículo 66, el padre tendrá derecho a un permiso pagado de cuatro días en caso de nacimiento de un hijo, el que podrá utilizar a su elección desde el momento del parto, y en este caso será de días corridos, o distribuirlo dentro del primer mes desde la fecha del nacimiento. Este permiso también se otorgará al padre que se le conceda la adopción de un hijo, contado desde la respectiva sentencia definitiva. Este derecho es irrenunciable.".</t>
  </si>
  <si>
    <t>Vigente. Última modificación 17-08-2022, Decreto 60</t>
  </si>
  <si>
    <t>El presente reglamento establece las condiciones de seguridad de las instalaciones de almacenamiento de sustancias peligrosas. Estas disposiciones regirán preferentemente sobre lo establecido en materias de almacenamiento en el decreto Nº 157 de 2005, del Ministerio de Salud, Reglamento de Pesticidas de Uso Sanitario y Doméstico y de lo establecido en el artículo 42 del decreto Nº 594 de 1999, del Ministerio de Salud, Reglamento sobre Condiciones Sanitarias y Ambientales Básicas en los Lugares de Trabajo.</t>
  </si>
  <si>
    <t>Se entenderá por sustancias peligrosas, o productos peligrosos, para efectos de la aplicación de este reglamento, aquellas que puedan significar un riesgo para la salud, la seguridad o el bienestar de los seres humanos y animales, siendo aquellas clasificadas en la Norma Chilena N° 382:2013, Sustancias Peligrosas - Clasificación (NCh 382:2013), correspondiendo a las siguientes: (revisar listado que indica la norma y las exenciones que señala el artículo N° 3)</t>
  </si>
  <si>
    <t>General, siempre que DSS disponga de almacenamiento de sustancias que la norma califica como peligrosas</t>
  </si>
  <si>
    <t>Ministerio de Vivienda y Urbanismo</t>
  </si>
  <si>
    <r>
      <t>Artículo 116,</t>
    </r>
    <r>
      <rPr>
        <sz val="10"/>
        <color rgb="FFFF0000"/>
        <rFont val="Calibri"/>
        <family val="2"/>
        <scheme val="minor"/>
      </rPr>
      <t xml:space="preserve"> inciso 1</t>
    </r>
    <r>
      <rPr>
        <sz val="10"/>
        <rFont val="Calibri"/>
        <family val="2"/>
        <scheme val="minor"/>
      </rPr>
      <t>.</t>
    </r>
  </si>
  <si>
    <r>
      <t xml:space="preserve">Artículo 116 bis, </t>
    </r>
    <r>
      <rPr>
        <sz val="10"/>
        <color rgb="FFFF0000"/>
        <rFont val="Calibri"/>
        <family val="2"/>
        <scheme val="minor"/>
      </rPr>
      <t>inciso 1.</t>
    </r>
    <r>
      <rPr>
        <sz val="10"/>
        <rFont val="Calibri"/>
        <family val="2"/>
        <scheme val="minor"/>
      </rPr>
      <t>-</t>
    </r>
  </si>
  <si>
    <r>
      <t xml:space="preserve"> Los permisos de subdivisión, loteo  o urbanización predial y de construcciones podrán  postergarse hasta por un plazo de tres meses, cuando el  sector de ubicación del terreno esté afectado por  estudios sobre modificaciones del Plan Regulador  Tercomunal o Comunal, aprobados por resolución del  Alcalde.  Esta postergación deberá ser informada previa y favorablemente por la Secretaría Regional  correspondiente del Ministerio de Vivienda y Urbanismo.  </t>
    </r>
    <r>
      <rPr>
        <sz val="10"/>
        <color rgb="FFFF0000"/>
        <rFont val="Calibri"/>
        <family val="2"/>
        <scheme val="minor"/>
      </rPr>
      <t>En caso necesario, el citado plazo de tres meses podrá ser prorrogado hasta completar un máximo de doce meses.  La prórroga se dispondrá por decreto supremo del Ministerio de Vivienda y Urbanismo dictado "por orden del Presidente de la República" o por resolución del Secretario Regional Ministerial de Vivienda y Urbanismo respectivo, según se trate de estudios sobre modificaciones de un Plan Regulador Intercomunal o de un Plan Regulador Comunal, en su caso.  Tanto el decreto supremo como la resolución se publicarán en el Diario Oficial y en algún diario de los de mayor circulación en la comuna.</t>
    </r>
  </si>
  <si>
    <t>Artículo 118, incisos 1 y 2</t>
  </si>
  <si>
    <t>La Dirección de Obras Municipales tendrá un plazo de 30 días, contados desde la presentación de la solicitud, para pronunciarse sobre los permisos de construcción.
    Dicho plazo se reducirá a 15 días,  si a la solicitud de permiso se acompañare el informe favorable de un revisor independiente o del arquitecto, en su caso.</t>
  </si>
  <si>
    <r>
      <t xml:space="preserve">Toda obra de urbanización o edificación deberá ejecutarse con sujeción estricta a los planos, especificaciones y demás antecedentes aprobados por la Dirección de Obras Municipales. </t>
    </r>
    <r>
      <rPr>
        <sz val="10"/>
        <color rgb="FFFF0000"/>
        <rFont val="Calibri"/>
        <family val="2"/>
        <scheme val="minor"/>
      </rPr>
      <t>Si después de concedido un permiso hubiere necesidad de introducir modificaciones o variantes en el proyecto o en las obras correspondientes, tales modificaciones se tramitarán en la forma que señale la Ordenanza General.
    La Dirección de Obras proveerá por escrito la información u observaciones sobre el proyecto al propietario o profesional que interviene, en formulario tipo, a solicitud del interesado. Será responsabilidad del profesional aportar los antecedentes necesarios y adecuar el proyecto a las exigencias que se le formulen.</t>
    </r>
  </si>
  <si>
    <r>
      <t xml:space="preserve"> La Dirección de Obras Municipales podrá, previa autorización del municipio, permitir nuevas construcciones u otras alteraciones en las construcciones existentes en los terrenos a que se refiere el artículo 59, distintas de las que admite el artículo 59 bis, siempre que el propietario del inmueble renuncie por escritura pública a toda indemnización o pago por dichas mejoras u obras, cuando posteriormente se lleve a cabo la expropiación. En dicha escritura se fijará el valor de expropiación y el plazo dentro del cual deberá adoptarse la línea oficial, siendo de su cargo la demolición. La escritura será inscrita en el Registro de Gravámenes del Conservador de Bienes Raíces y la renuncia afectará a todos los sucesores del renunciante, a cualquier título, en el dominio del inmueble. </t>
    </r>
    <r>
      <rPr>
        <sz val="10"/>
        <color rgb="FFFF0000"/>
        <rFont val="Calibri"/>
        <family val="2"/>
        <scheme val="minor"/>
      </rPr>
      <t>En caso de incumplimiento del interesado, la Municipalidad podrá desalojar el edificio con el auxilio de la fuerza pública y demolerlo en la parte que corresponda por cuenta del propietario, sin perjuicio de las acciones legales que correspondan, hasta el reintegro total de los costos del desalojo y la demolición. Los gastos de la demolición y desalojo podrán imputarse al valor de la expropiación.</t>
    </r>
  </si>
  <si>
    <r>
      <t xml:space="preserve">En aquellas propiedades que no cumplan con las disposiciones del Plan Regulador y que fueren parcialmente afectadas por siniestros, las Direcciones de Obras Municipales podrán autorizar la ejecución de trabajos de emergencia y de carácter transitorio, destinados a su mantenimiento, por un plazo no mayor a seis meses, el que sólo podrá ser prorrogado por una sola vez hasta por otro periodo igual, siempre que existan causas justificadas. </t>
    </r>
    <r>
      <rPr>
        <sz val="10"/>
        <color rgb="FFFF0000"/>
        <rFont val="Calibri"/>
        <family val="2"/>
        <scheme val="minor"/>
      </rPr>
      <t>Vencidos los plazos señalados en el inciso anterior, el Alcalde, a petición del Director de Obras Municipales, podrá ordenar la demolición de los edificios existentes y el desalojo de sus ocupantes con el auxilio de la fuerza pública, con cargo al propietario, sin perjuicio de las demás sanciones que procedan.</t>
    </r>
  </si>
  <si>
    <r>
      <t xml:space="preserve">El Director de Obras Municipales podrá autorizar la ejecución de construcciones provisorias por una sola vez, hasta por un máximo de tres años, en las condiciones que determine en cada caso. Sólo en casos calificados podrá ampliarse este plazo, con la autorización expresa de la Secretaría Regional respectiva del Ministerio de la Vivienda y Urbanismo. </t>
    </r>
    <r>
      <rPr>
        <sz val="10"/>
        <color rgb="FFFF0000"/>
        <rFont val="Calibri"/>
        <family val="2"/>
        <scheme val="minor"/>
      </rPr>
      <t xml:space="preserve"> Si, vencido el plazo correspondiente, el beneficiario no retirare las referidas construcciones, el Alcalde podrá ordenar el desalojo y la demolición de las construcciones, con cargo al propietario, con el auxilio de la fuerza pública si fuere necesario, sin perjuicio de imponer las multas que correspondan.</t>
    </r>
  </si>
  <si>
    <r>
      <t xml:space="preserve"> Los derechos municipales a cancelar por permisos de subdivisión, loteos, construcción, etc. no constituyen impuesto, sino el cobro correspondiente al ejercicio de una labor de revisión, inspección y recepción, y se regularán conforme a la siguiente tabla: </t>
    </r>
    <r>
      <rPr>
        <sz val="10"/>
        <color rgb="FFFF0000"/>
        <rFont val="Calibri"/>
        <family val="2"/>
        <scheme val="minor"/>
      </rPr>
      <t>(revisar tabla del artículo 130 de la ley citada)</t>
    </r>
  </si>
  <si>
    <r>
      <t xml:space="preserve"> Terminadas todas las obras que contempla un permiso de ejecución de obras de urbanización o parte de él que pueda habilitarse independientemente, se solicitará su recepción definitiva total o parcial al Director de Obras Municipales. Para estos efectos, el urbanizador deberá presentar los planos aprobados por los Servicios competentes, y los siguientes antecedentes, según sea el caso</t>
    </r>
    <r>
      <rPr>
        <sz val="10"/>
        <color rgb="FFFF0000"/>
        <rFont val="Calibri"/>
        <family val="2"/>
        <scheme val="minor"/>
      </rPr>
      <t xml:space="preserve"> (revisar listado de antecedentes que indica la norma citada)</t>
    </r>
    <r>
      <rPr>
        <sz val="10"/>
        <rFont val="Calibri"/>
        <family val="2"/>
        <scheme val="minor"/>
      </rPr>
      <t>:</t>
    </r>
  </si>
  <si>
    <r>
      <t xml:space="preserve"> Artículo 3.4.3 </t>
    </r>
    <r>
      <rPr>
        <sz val="10"/>
        <color rgb="FFFF0000"/>
        <rFont val="Calibri"/>
        <family val="2"/>
        <scheme val="minor"/>
      </rPr>
      <t>(inciso 1</t>
    </r>
    <r>
      <rPr>
        <sz val="10"/>
        <rFont val="Calibri"/>
        <family val="2"/>
        <scheme val="minor"/>
      </rPr>
      <t xml:space="preserve">). </t>
    </r>
  </si>
  <si>
    <t>Vigente, última modificación 28/09/2023, Decreto 7</t>
  </si>
  <si>
    <t>Particular, en las materias que se detallan en la pestaña respectiva</t>
  </si>
  <si>
    <t>Calidad</t>
  </si>
  <si>
    <t>Vigente, última modificación 17/12/2023, ley 21.636</t>
  </si>
  <si>
    <t>Vigente, última modificación 21/06/2003, ley 21.592 (establece un estatuto de protección en favor del denunciante)</t>
  </si>
  <si>
    <r>
      <rPr>
        <sz val="10"/>
        <rFont val="Calibri"/>
        <family val="2"/>
      </rPr>
      <t xml:space="preserve">La duración de la jornada ordinaria de trabajo no excederá de </t>
    </r>
    <r>
      <rPr>
        <sz val="10"/>
        <color rgb="FFFF0000"/>
        <rFont val="Calibri"/>
        <family val="2"/>
      </rPr>
      <t>cuarenta horas semanales y su distribución se podrá efectuar en cada semana calendario o sobre la base de promedios semanales en lapsos de hasta cuatro semanas, con los límites y requisitos señalados en este capítulo</t>
    </r>
    <r>
      <rPr>
        <b/>
        <sz val="10"/>
        <rFont val="Calibri"/>
        <family val="2"/>
      </rPr>
      <t xml:space="preserve">. </t>
    </r>
    <r>
      <rPr>
        <sz val="10"/>
        <rFont val="Calibri"/>
        <family val="2"/>
      </rPr>
      <t>Quedarán excluidos de la limitación de jornada de trabajo los trabajadores que presten servicios a distintos empleadores, los gerentes, administradores, apoderados con facultades de administración y todos aquellos que trabajen sin fiscalización superior inmediata; los contratados de acuerdo con este Código para prestar servicios en su propio hogar o en lugar libremente elegido por ellos, los agentes comisionistas y de seguros, vendedores viajantes, cobradores y demás similares que no ejerzan sus funciones en el local del establecimiento.</t>
    </r>
  </si>
  <si>
    <r>
      <t>Art. 22,</t>
    </r>
    <r>
      <rPr>
        <sz val="10"/>
        <color rgb="FFFF0000"/>
        <rFont val="Calibri"/>
        <family val="2"/>
        <scheme val="minor"/>
      </rPr>
      <t xml:space="preserve"> incisos 1 y 2</t>
    </r>
  </si>
  <si>
    <r>
      <rPr>
        <sz val="10"/>
        <rFont val="Calibri"/>
        <family val="2"/>
      </rPr>
      <t xml:space="preserve">Las empresas establecimientos, faenas o unidades económicas  que ocupen </t>
    </r>
    <r>
      <rPr>
        <b/>
        <sz val="10"/>
        <rFont val="Calibri"/>
        <family val="2"/>
      </rPr>
      <t>normalmente  diez o más trabajadores permanentes,</t>
    </r>
    <r>
      <rPr>
        <sz val="10"/>
        <rFont val="Calibri"/>
        <family val="2"/>
      </rPr>
      <t xml:space="preserve"> contados todos los que presten  servicios en las distintas fábricas o secciones, aunque estén situadas en  localidades diferentes, </t>
    </r>
    <r>
      <rPr>
        <b/>
        <sz val="10"/>
        <rFont val="Calibri"/>
        <family val="2"/>
      </rPr>
      <t>estarán obligadas a confeccionar un reglamento interno  de orden, higiene y seguridad que contenga las obligaciones y prohibiciones a  que deben sujetarse los trabajadores, en relación con sus labores, permanencia y  vida en las dependencias de la respectiva empresa o establecimiento</t>
    </r>
    <r>
      <rPr>
        <sz val="10"/>
        <rFont val="Calibri"/>
        <family val="2"/>
      </rPr>
      <t xml:space="preserve">. </t>
    </r>
    <r>
      <rPr>
        <sz val="10"/>
        <color rgb="FFFF0000"/>
        <rFont val="Calibri"/>
        <family val="2"/>
      </rPr>
      <t xml:space="preserve">Especialmente, se deberán estipular las normas que se deben observar para garantizar un ambiente laboral digno y de mutuo respeto entre los trabajadores. </t>
    </r>
    <r>
      <rPr>
        <sz val="10"/>
        <rFont val="Calibri"/>
        <family val="2"/>
      </rPr>
      <t xml:space="preserve">Una copia del reglamento deberá remitirse </t>
    </r>
    <r>
      <rPr>
        <b/>
        <sz val="10"/>
        <rFont val="Calibri"/>
        <family val="2"/>
      </rPr>
      <t xml:space="preserve">al Ministerio de Salud y a la  Dirección del Trabajo dentro de los cinco días siguientes a la vigencia del  mismo. </t>
    </r>
    <r>
      <rPr>
        <sz val="10"/>
        <rFont val="Calibri"/>
        <family val="2"/>
      </rPr>
      <t xml:space="preserve">Cualquier trabajador o las organizaciones sindicales  de la empresa respectiva podrán impugnar las disposiciones del reglamento  interno que estimaren ilegales, mediante presentación efectuada ante la  autoridad de salud o ante la Dirección del Trabajo, según corresponda. De igual  modo, esa autoridad o esa Dirección podrán, de oficio, exigir modificaciones al  referido reglamento en razón de ilegalidad. </t>
    </r>
    <r>
      <rPr>
        <sz val="10"/>
        <color rgb="FFFF0000"/>
        <rFont val="Calibri"/>
        <family val="2"/>
      </rPr>
      <t>Asimismo, podrán exigir que se incorporen las disposiciones que le son obligatorias de conformidad al artículo siguiente.</t>
    </r>
  </si>
  <si>
    <r>
      <t>El reglamento interno deberá contener, a lo menos, las siguientes disposiciones: 1.- las horas en que empieza y termina el trabajo y las de cada turno, si aquél  se efectúa por equipos; 2.- los descansos; 3.- los diversos tipos de remuneraciones; 4.- el lugar, día y hora de pago; 5.- las obligaciones y prohibiciones a que estén sujetos los trabajadores; 6.- la designación de los cargos ejecutivos o dependientes del establecimiento  ante quienes los trabajadores deban plantear sus peticiones, reclamos, consultas  y sugerencias</t>
    </r>
    <r>
      <rPr>
        <sz val="10"/>
        <color rgb="FFFF0000"/>
        <rFont val="Calibri"/>
        <family val="2"/>
      </rPr>
      <t xml:space="preserve">, y en el caso de empresas de doscientos trabajadores o más, un registro que consigne los diversos cargos o funciones en la empresa y sus características técnicas esenciales; </t>
    </r>
    <r>
      <rPr>
        <sz val="10"/>
        <rFont val="Calibri"/>
        <family val="2"/>
      </rPr>
      <t xml:space="preserve">7.- las normas especiales pertinentes a las diversas clases de faenas, de acuerdo con la edad y sexo de los trabajadores,  </t>
    </r>
    <r>
      <rPr>
        <sz val="10"/>
        <color rgb="FFFF0000"/>
        <rFont val="Calibri"/>
        <family val="2"/>
      </rPr>
      <t>y a los ajustes necesarios y servicios de apoyo que permitan al trabajador con discapacidad un desempeño laboral adecuado</t>
    </r>
    <r>
      <rPr>
        <sz val="10"/>
        <rFont val="Calibri"/>
        <family val="2"/>
      </rPr>
      <t xml:space="preserve">; 8.- la forma de comprobación del cumplimiento de las leyes de previsión, de  servicio militar obligatorio, de cédula de identidad y, en el caso de menores,  de haberse cumplido la obligación escolar; 9.- las normas e instrucciones de prevención, higiene y seguridad que deban  observarse en la empresa o establecimiento; 10.- las sanciones que podrán aplicarse por infracción a las obligaciones que  señale este reglamento, las que sólo podrán consistir en amonestación verbal o  escrita y multa de hasta el veinticinco por ciento de la remuneración diaria; 11.- el procedimiento a que se someterá la aplicación de las sanciones referidas  en el número anterior; 12.- El procedimiento al que se someterán y las medidas de resguardo y sanciones que se aplicarán en caso de denuncias por acoso sexual.  </t>
    </r>
    <r>
      <rPr>
        <sz val="10"/>
        <color rgb="FFFF0000"/>
        <rFont val="Calibri"/>
        <family val="2"/>
      </rPr>
      <t>En el caso de las denuncias sobre acoso sexual, el empleador que, ante una denuncia del trabajador afectado, cumpla íntegramente con el procedimiento establecido en el Título IV del Libro II, no estará afecto al aumento señalado en la letra c) del inciso primero del artículo 168, y</t>
    </r>
    <r>
      <rPr>
        <sz val="10"/>
        <rFont val="Calibri"/>
        <family val="2"/>
      </rPr>
      <t xml:space="preserve"> </t>
    </r>
    <r>
      <rPr>
        <sz val="10"/>
        <color rgb="FFFF0000"/>
        <rFont val="Calibri"/>
        <family val="2"/>
      </rPr>
      <t>13.- El procedimiento a que se someterán los reclamos que se deduzcan por infracción al artículo 62 bis. En todo caso, el reclamo y la respuesta del empleador deberán constar por escrito y estar debidamente fundados. La respuesta del empleador deberá ser entregada dentro de un plazo no mayor a treinta días de efectuado el reclamo por parte del trabajador.  Las obligaciones y prohibiciones a que hace referencia el número 5 de este artículo, y, en general, toda medida de control, sólo podrán efectuarse por medios idóneos y concordantes con la naturaleza de la relación laboral y, en todo caso, su aplicación deberá ser general, garantizándose la impersonalidad de la medida, para respetar la dignidad del trabajador.</t>
    </r>
  </si>
  <si>
    <r>
      <rPr>
        <sz val="10"/>
        <rFont val="Calibri"/>
        <family val="2"/>
      </rPr>
      <t xml:space="preserve">Los reglamentos internos y sus modificaciones </t>
    </r>
    <r>
      <rPr>
        <b/>
        <sz val="10"/>
        <rFont val="Calibri"/>
        <family val="2"/>
      </rPr>
      <t>deberán ponerse en conocimiento de los trabajadores treinta días antes de la fecha en que comiencen</t>
    </r>
    <r>
      <rPr>
        <sz val="10"/>
        <rFont val="Calibri"/>
        <family val="2"/>
      </rPr>
      <t xml:space="preserve"> a regir, y fijarse, a lo menos, en dos sitios visibles del lugar de las faenas  con la misma anticipación. </t>
    </r>
    <r>
      <rPr>
        <b/>
        <sz val="10"/>
        <rFont val="Calibri"/>
        <family val="2"/>
      </rPr>
      <t xml:space="preserve">Deberá también entregarse una copia a los sindicatos y a los Comités Paritarios existentes en la empresa. </t>
    </r>
    <r>
      <rPr>
        <sz val="10"/>
        <rFont val="Calibri"/>
        <family val="2"/>
      </rPr>
      <t xml:space="preserve">Además, el empleador </t>
    </r>
    <r>
      <rPr>
        <b/>
        <sz val="10"/>
        <rFont val="Calibri"/>
        <family val="2"/>
      </rPr>
      <t>deberá entregar gratuitamente a los trabajadores un  ejemplar impreso que contenga el texto del reglamento interno de la empresa y</t>
    </r>
    <r>
      <rPr>
        <sz val="10"/>
        <rFont val="Calibri"/>
        <family val="2"/>
      </rPr>
      <t xml:space="preserve"> el reglamento a que se refiere la Ley N°  16.744.</t>
    </r>
  </si>
  <si>
    <r>
      <t>Art.156</t>
    </r>
    <r>
      <rPr>
        <sz val="10"/>
        <color rgb="FFFF0000"/>
        <rFont val="Calibri"/>
        <family val="2"/>
        <scheme val="minor"/>
      </rPr>
      <t>, inciso 1</t>
    </r>
  </si>
  <si>
    <r>
      <rPr>
        <sz val="10"/>
        <rFont val="Calibri"/>
        <family val="2"/>
      </rPr>
      <t xml:space="preserve"> El empleador estará obligado a  tomar todas las medidas necesarias para  proteger eficazmente la vida y salud delos trabajadores, manteniendo las condiciones adecuadas de higiene y seguridad en las faenas, como también </t>
    </r>
    <r>
      <rPr>
        <b/>
        <sz val="10"/>
        <rFont val="Calibri"/>
        <family val="2"/>
      </rPr>
      <t>los implementos necesarios para prevenir  accidentes y enfermedades profesionales</t>
    </r>
    <r>
      <rPr>
        <sz val="10"/>
        <rFont val="Calibri"/>
        <family val="2"/>
      </rPr>
      <t xml:space="preserve">. Deberá asimismo prestar o garantizar los elementos necesarios para que los trabajadores en caso de accidente o emergencia pueda acceder a una oportuna y adecuada atención médica, hospitalaria y farmacéutica. </t>
    </r>
  </si>
  <si>
    <r>
      <t xml:space="preserve">Art.184, </t>
    </r>
    <r>
      <rPr>
        <sz val="10"/>
        <color rgb="FFFF0000"/>
        <rFont val="Calibri"/>
        <family val="2"/>
        <scheme val="minor"/>
      </rPr>
      <t>incisos 1 y 2</t>
    </r>
  </si>
  <si>
    <r>
      <t>Capítulo IX
DE LAS PRACTICAS DESLEALES O ANTISINDICALES
Y DE SU SANCION
 Serán consideradas prácticas desleales del empleador, las acciones que atenten contra la libertad sindical, entendiéndose por tales, entre otras, las siguientes (</t>
    </r>
    <r>
      <rPr>
        <sz val="10"/>
        <color rgb="FFFF0000"/>
        <rFont val="Calibri"/>
        <family val="2"/>
        <scheme val="minor"/>
      </rPr>
      <t>revisar listado que enumera el artículo citado</t>
    </r>
    <r>
      <rPr>
        <sz val="10"/>
        <rFont val="Calibri"/>
        <family val="2"/>
        <scheme val="minor"/>
      </rPr>
      <t>):</t>
    </r>
  </si>
  <si>
    <t>LIBRO IV 
DE LA NEGOCIACIÓN COLECTIVA
Título I
NORMAS GENERALES
 Partes. Las partes deben negociar de buena fe, cumpliendo con las obligaciones y plazos previstos en las disposiciones siguientes, sin poner obstáculos que limiten las opciones de entendimiento entre ambas.
    Para determinar si dos o más empresas deben ser consideradas como un solo empleador para efectos de la negociación colectiva, se estará a lo dispuesto en los incisos cuarto y siguientes del artículo 3°.</t>
  </si>
  <si>
    <t>Art. 303.-</t>
  </si>
  <si>
    <t>Art. 304, inciso 1.-</t>
  </si>
  <si>
    <t>Ámbito de aplicación. La negociación colectiva podrá tener lugar en las empresas del sector privado y en aquellas en las que el Estado tenga aportes, participación y representación.</t>
  </si>
  <si>
    <r>
      <t>Art. 503</t>
    </r>
    <r>
      <rPr>
        <sz val="10"/>
        <color rgb="FFFF0000"/>
        <rFont val="Calibri"/>
        <family val="2"/>
        <scheme val="minor"/>
      </rPr>
      <t>, inciso 1</t>
    </r>
  </si>
  <si>
    <t>Ministerio de Salud Pública</t>
  </si>
  <si>
    <t>Vigente, última modificación 03-10-2023, Resolución Exenta N° 19.333</t>
  </si>
  <si>
    <t>Calidad / Ambiente / S&amp;ST</t>
  </si>
  <si>
    <r>
      <t xml:space="preserve">Art. 73, </t>
    </r>
    <r>
      <rPr>
        <sz val="10"/>
        <color rgb="FFFF0000"/>
        <rFont val="Calibri"/>
        <family val="2"/>
        <scheme val="minor"/>
      </rPr>
      <t>inciso 1</t>
    </r>
    <r>
      <rPr>
        <sz val="10"/>
        <rFont val="Calibri"/>
        <family val="2"/>
        <scheme val="minor"/>
      </rPr>
      <t xml:space="preserve">. </t>
    </r>
  </si>
  <si>
    <t>Artículo 82</t>
  </si>
  <si>
    <t>El reglamento comprenderá normas como las que se refieren a:
a) las condiciones de higiene y seguridad que deben reunir los lugares de trabajo, los equipos, maquinarias, instalaciones, materiales y cualquier otro elemento, con el fin de proteger eficazmente la vida, la salud y bienestar de los obreros y empleados y de la población en general;
b) las medidas de protección sanitaria y de seguridad que deben adoptarse en la extracción, elaboración y manipulación de substancias producidas o utilizadas en los lugares en que se efectúe trabajo humano;
c) las condiciones de higiene y seguridad que deben reunir los equipos de protección personal y la obligación de su uso.</t>
  </si>
  <si>
    <t>Las Municipalidades no podrán otorgar patentes definitivas para la instalación, ampliación o traslado de industrias, sin informe previo de la autoridad sanitaria sobre los efectos que ésta puede ocasionar en el ambiente.</t>
  </si>
  <si>
    <t xml:space="preserve"> Artículo 83, inciso 1</t>
  </si>
  <si>
    <t> Artículo 84</t>
  </si>
  <si>
    <t>El Servicio Nacional de Salud podrá disponer el traslado de aquellas industrias o depósitos de materiales que, a su juicio, representen un peligro para la salud, seguridad y bienestar de la población.
La autoridad sanitaria no podrá exigir el traslado antes del plazo de un año, contado desde la fecha de la notificación.</t>
  </si>
  <si>
    <t>Artículo 87</t>
  </si>
  <si>
    <t>El Servicio Nacional de Salud tendrá a su cargo la recopilación y análisis de los datos estadísticos referentes a los accidentes y enfermedades profesionales, los que le deberán ser proporcionados por el empleador, en la forma y con la periodicidad que él señale.
Las enfermedades profesionales serán notificadas por el médico que las constate, en la forma y condiciones que el Servicio Nacional de Salud establezca.
También, deberá notificar las afecciones que puedan derivarse de intoxicaciones producidas por el uso de plaguicidas o productos fitosanitarios.</t>
  </si>
  <si>
    <t>Artículo 88</t>
  </si>
  <si>
    <t>Corresponde exclusivamente al Servicio Nacional de Salud determinar en cada caso las incapacidades permanentes debidas a accidentes del trabajo o enfermedades profesionales.</t>
  </si>
  <si>
    <t>Vigente, última modificación 09-01-2014, ley 20.720</t>
  </si>
  <si>
    <r>
      <t>Artículo 1º,</t>
    </r>
    <r>
      <rPr>
        <sz val="10"/>
        <color rgb="FFFF0000"/>
        <rFont val="Arial"/>
        <family val="2"/>
      </rPr>
      <t xml:space="preserve"> Decreto Supremo N° 313, Ministerio del Trabajo y Previsión Social, publicado el 12-05-1973, el cual incluye a escolares en Seguro de Accidentes de acuerdo con la ley N° 16.744</t>
    </r>
  </si>
  <si>
    <t>La contratación del seguro obligatorio deberá constar en un certificado que hará las veces de póliza y del cual se entenderá que forman parte integrante las condiciones y cláusulas que la Superintendencia. 
En dicho certificado, cuya forma y contenido se fijará por la Superintendencia de Valores y Seguros, deberá constar la individualización del vehículo, el nombre del tomador del seguro, el nombre de la entidad aseguradora, el número de póliza, el inicio y término de vigencia del seguro y la firma de un apoderado del asegurador que haya emitido el documento. 
El aludido certificado se considerará como prueba suficiente de la contratación del seguro obligatorio.</t>
  </si>
  <si>
    <t>Ministerio de Relaciones Exteriores</t>
  </si>
  <si>
    <t>Ministerio de Transportes y Telecomunicaciones</t>
  </si>
  <si>
    <t>Vigente. Última modificación 16/05/2012, Decreto 4</t>
  </si>
  <si>
    <t>Ministerio de Economía, Fomento y Reconstrucción;  Subsecretaría de Economía, Fomento y Reconstrucción</t>
  </si>
  <si>
    <t>Ministerio de Educación</t>
  </si>
  <si>
    <t>Ministerio de Salud; Subsecretaría de Salud Pública; Instituto de Salud Pública</t>
  </si>
  <si>
    <t>Ministerio del Medio Ambiente</t>
  </si>
  <si>
    <t>Vigente. Última modificación 11-12-2018, Decreto 31</t>
  </si>
  <si>
    <r>
      <t xml:space="preserve"> Sujetos obligados a reportar </t>
    </r>
    <r>
      <rPr>
        <sz val="10"/>
        <color rgb="FFFF0000"/>
        <rFont val="Calibri"/>
        <family val="2"/>
        <scheme val="minor"/>
      </rPr>
      <t>e informar.</t>
    </r>
    <r>
      <rPr>
        <sz val="10"/>
        <rFont val="Calibri"/>
        <family val="2"/>
        <scheme val="minor"/>
      </rPr>
      <t xml:space="preserve"> Se encuentran obligados a reportar </t>
    </r>
    <r>
      <rPr>
        <sz val="10"/>
        <color rgb="FFFF0000"/>
        <rFont val="Calibri"/>
        <family val="2"/>
        <scheme val="minor"/>
      </rPr>
      <t>o informar</t>
    </r>
    <r>
      <rPr>
        <sz val="10"/>
        <rFont val="Calibri"/>
        <family val="2"/>
        <scheme val="minor"/>
      </rPr>
      <t xml:space="preserve"> a través del Sistema de Ventanilla Única:
a)   Los establecimientos que deban reportar a otros órganos de la Administración del Estado, la información sobre sus emisiones, residuos y/o transferencias de contaminantes, ya sea por una norma de emisión, una resolución de calificación ambiental, un plan de prevención, un plan de descontaminación, o por exigencia de la normativa sectorial o general correspondiente.
b)   Los establecimientos sujetos a calificarse como fuente emisora o generadora o destinatario de residuo, según alguna norma de emisión u otra regulación.
c)   Los establecimientos sujetos a reportar la información de sus emisiones, residuos y/o transferencias de contaminantes conforme a lo establecido en tratados internacionales ratificados por Chile.
d)   Los establecimientos que emitan contaminantes, sustancias, generen o reciben residuos y/o transfieran contaminantes, respecto de los cuales una regulación determinada obligue su reporte.
e)   Importadores, productores, distribuidores y comercializadores de productos que contengan contaminantes y sustancias, respecto de los cuales una regulación y/o tratados internacionales ratificados por Chile obligue su reporte.
f)   Centros de almacenamiento de insumos para la producción industrial potencialmente dañinos para la salud y el medio ambiente, respecto de los cuales una regulación y/o tratados internacionales ratificados por Chile obligue su reporte.
g)   Los establecimientos que generen más de 12 toneladas de residuos al año, las municipalidades, y los destinatarios de residuos, de acuerdo a los artículos 26, 27 y 28 del presente reglamento.
</t>
    </r>
    <r>
      <rPr>
        <sz val="10"/>
        <color rgb="FFFF0000"/>
        <rFont val="Calibri"/>
        <family val="2"/>
        <scheme val="minor"/>
      </rPr>
      <t>h)  Los productores de productos prioritarios; sistemas de gestión; los gestores de residuos; y los comercializadores y distribuidores y los consumidores industriales, cuando corresponda, de acuerdo a lo indicado en la Ley Nº 20.920.
i)  Los establecimientos afectos a pagar impuesto a las emisiones, de acuerdo a lo indicado en el artículo 8º de la ley 20.780.</t>
    </r>
  </si>
  <si>
    <r>
      <t xml:space="preserve">Ventanilla Única. Los sujetos </t>
    </r>
    <r>
      <rPr>
        <sz val="10"/>
        <color rgb="FFFF0000"/>
        <rFont val="Calibri"/>
        <family val="2"/>
        <scheme val="minor"/>
      </rPr>
      <t>obligados a registrarse y los que</t>
    </r>
    <r>
      <rPr>
        <sz val="10"/>
        <rFont val="Calibri"/>
        <family val="2"/>
        <scheme val="minor"/>
      </rPr>
      <t xml:space="preserve"> reporten </t>
    </r>
    <r>
      <rPr>
        <sz val="10"/>
        <color rgb="FFFF0000"/>
        <rFont val="Calibri"/>
        <family val="2"/>
        <scheme val="minor"/>
      </rPr>
      <t>o informen</t>
    </r>
    <r>
      <rPr>
        <sz val="10"/>
        <rFont val="Calibri"/>
        <family val="2"/>
        <scheme val="minor"/>
      </rPr>
      <t xml:space="preserve"> sus emisiones, residuos, transferencias de contaminantes </t>
    </r>
    <r>
      <rPr>
        <sz val="10"/>
        <color rgb="FFFF0000"/>
        <rFont val="Calibri"/>
        <family val="2"/>
        <scheme val="minor"/>
      </rPr>
      <t>o productos prioritarios</t>
    </r>
    <r>
      <rPr>
        <sz val="10"/>
        <rFont val="Calibri"/>
        <family val="2"/>
        <scheme val="minor"/>
      </rPr>
      <t xml:space="preserve">, deberán realizarlo sólo a través de la ventanilla única que se encuentra en el portal electrónico del RETC.   
La información que las fuentes emisoras deban proporcionar a la Superintendencia del Medio Ambiente de conformidad a las letras e), f) y h), del artículo 32 de su Ley Orgánica se realizará a través de la ventanilla única, accediéndose por dicha vía al Sistema Nacional de Información de Fiscalización Ambiental de la Superintendencia del Medio Ambiente.     
No obstante, la forma y modo de remisión, así como los plazos para la entrega de la información mencionada en el inciso anterior, se regirá por lo dispuesto en las instrucciones generales que dicte la Superintendencia del Medio Ambiente y en el Reglamento del Sistema Nacional de Información de Fiscalización Ambiental y de los Registros Públicos de Resoluciones de Calificación Ambiental y de Sanciones.     
El ingreso a la ventanilla única del RETC se realizará mediante un identificador del establecimiento o </t>
    </r>
    <r>
      <rPr>
        <sz val="10"/>
        <color rgb="FFFF0000"/>
        <rFont val="Calibri"/>
        <family val="2"/>
        <scheme val="minor"/>
      </rPr>
      <t>RUT</t>
    </r>
    <r>
      <rPr>
        <sz val="10"/>
        <rFont val="Calibri"/>
        <family val="2"/>
        <scheme val="minor"/>
      </rPr>
      <t>, según corresponda, y su respectiva contraseña. Tanto el identificador como la contraseña serán entregados por medio de un correo electrónico. Para ello, previamente se debe haber completado un formulario en donde se ingresan los datos del establecimiento y cualquier otro que se estime necesario. La información incluida en este formulario se mantendrá en la base de datos del RETC.</t>
    </r>
  </si>
  <si>
    <r>
      <t xml:space="preserve"> Artículo 2</t>
    </r>
    <r>
      <rPr>
        <sz val="10"/>
        <color rgb="FFFF0000"/>
        <rFont val="Calibri"/>
        <family val="2"/>
        <scheme val="minor"/>
      </rPr>
      <t>5.</t>
    </r>
    <r>
      <rPr>
        <sz val="10"/>
        <rFont val="Calibri"/>
        <family val="2"/>
        <scheme val="minor"/>
      </rPr>
      <t xml:space="preserve">- </t>
    </r>
  </si>
  <si>
    <t>Ilustre Municipalidad de San Pedro de la Paz</t>
  </si>
  <si>
    <t>Vigente. Última modificación de 17 de enero de 2019, publicada en el Diario Oficial el 09 de febrero de 2019</t>
  </si>
  <si>
    <t>General, en caso de ejercer subcontratación y/o servicios transitorios</t>
  </si>
  <si>
    <t>Ministerio de Transportes y Telecomunicaciones; Subsecretaría de Transportes</t>
  </si>
  <si>
    <t>Vigente. Última modificación 12-03-2018, Decreto 35</t>
  </si>
  <si>
    <t>Vigente. Última modificación 30-09-2020, Decreto 40</t>
  </si>
  <si>
    <t>Vigente, sin constancia de existir versión actualizada</t>
  </si>
  <si>
    <t>Vigente. Última modificación 17-03-2023, ley N° 21.541</t>
  </si>
  <si>
    <t>Ministerio de Hacienda; Subsecretaría de Hacienda</t>
  </si>
  <si>
    <t>Vigente. Última modificación 27-09-2022, ley N° 21.488</t>
  </si>
  <si>
    <t>Ministerio Secretaría General de Gobierno</t>
  </si>
  <si>
    <t>Vigente. Última modificación 10-12-2021, ley 21.400</t>
  </si>
  <si>
    <t>Ministerio de Desarrollo Social</t>
  </si>
  <si>
    <r>
      <rPr>
        <sz val="10"/>
        <color rgb="FFFF0000"/>
        <rFont val="Calibri"/>
        <family val="2"/>
        <scheme val="minor"/>
      </rPr>
      <t>Sustitúyese el inciso tercero del artículo 17 de la ley N° 18.834, sobre Estatuto Administrativo, cuyo texto refundido, coordinado y sistematizado fue fijado por el decreto con fuerza de ley N° 29, de 2004, del Ministerio de Hacienda, por el siguiente:</t>
    </r>
    <r>
      <rPr>
        <sz val="10"/>
        <rFont val="Calibri"/>
        <family val="2"/>
        <scheme val="minor"/>
      </rPr>
      <t xml:space="preserve"> Prohíbese todo acto de discriminación arbitraria que se traduzca en exclusiones o restricciones, tales como aquellas basadas en motivos de raza o etnia, situación socioeconómica, idioma, ideología u opinión política, discapacidad, religión o creencia, sindicación o participación en organizaciones gremiales o la falta de ellas, sexo, orientación sexual, identidad de género, estado civil, edad, filiación, apariencia personal o enfermedad, que tengan por objeto anular o alterar la igualdad de oportunidades o trato en el empleo</t>
    </r>
  </si>
  <si>
    <t>Ministerio de Planificación</t>
  </si>
  <si>
    <r>
      <t>Articulo 31</t>
    </r>
    <r>
      <rPr>
        <sz val="10"/>
        <color rgb="FFFF0000"/>
        <rFont val="Calibri"/>
        <family val="2"/>
        <scheme val="minor"/>
      </rPr>
      <t>, inciso 1</t>
    </r>
  </si>
  <si>
    <t>Vigente.Última modificación 18-02-2023, Decreto 2271</t>
  </si>
  <si>
    <t>Ministerio de Planificación y Cooperación</t>
  </si>
  <si>
    <t>Vigente. Última modificación 10-02-2010, ley 20.422</t>
  </si>
  <si>
    <t>Sin certificación de vigencia</t>
  </si>
  <si>
    <r>
      <rPr>
        <sz val="10"/>
        <color rgb="FFFF0000"/>
        <rFont val="Calibri"/>
        <family val="2"/>
        <scheme val="minor"/>
      </rPr>
      <t xml:space="preserve">Regula transferencia y </t>
    </r>
    <r>
      <rPr>
        <sz val="10"/>
        <rFont val="Calibri"/>
        <family val="2"/>
        <scheme val="minor"/>
      </rPr>
      <t>otorga mérito ejecutivo a copia de la factura.</t>
    </r>
  </si>
  <si>
    <r>
      <t xml:space="preserve">Ley Nº 19.983, </t>
    </r>
    <r>
      <rPr>
        <u/>
        <sz val="10"/>
        <color rgb="FFFF0000"/>
        <rFont val="Arial"/>
        <family val="2"/>
      </rPr>
      <t>que regula la transferencia y</t>
    </r>
    <r>
      <rPr>
        <u/>
        <sz val="10"/>
        <color indexed="12"/>
        <rFont val="Arial"/>
        <family val="2"/>
      </rPr>
      <t xml:space="preserve"> otorga mérito ejecutivo a copia de la factura.</t>
    </r>
  </si>
  <si>
    <t>Vigente. Última modificación 03-04-2020, ley N° 21.217</t>
  </si>
  <si>
    <r>
      <rPr>
        <sz val="10"/>
        <color rgb="FFFF0000"/>
        <rFont val="Calibri"/>
        <family val="2"/>
        <scheme val="minor"/>
      </rPr>
      <t>Modifica el Código del Trabajo en materia de</t>
    </r>
    <r>
      <rPr>
        <sz val="10"/>
        <rFont val="Calibri"/>
        <family val="2"/>
        <scheme val="minor"/>
      </rPr>
      <t xml:space="preserve"> trabajo a distancia.</t>
    </r>
  </si>
  <si>
    <r>
      <t xml:space="preserve">Ley Nº 21.220, </t>
    </r>
    <r>
      <rPr>
        <u/>
        <sz val="10"/>
        <color rgb="FFFF0000"/>
        <rFont val="Arial"/>
        <family val="2"/>
      </rPr>
      <t>Modifica el Código del Trabajo en materia de</t>
    </r>
    <r>
      <rPr>
        <u/>
        <sz val="10"/>
        <color indexed="12"/>
        <rFont val="Arial"/>
        <family val="2"/>
      </rPr>
      <t xml:space="preserve"> trabajo a distancia.</t>
    </r>
  </si>
  <si>
    <t>Dirección del Trabajo; Departamento Jurídico y Fiscalía</t>
  </si>
  <si>
    <t>APRUEBA REGLAMENTO DEL ARTÍCULO 152 QUÁTER M DEL CÓDIGO DEL TRABAJO, QUE ESTABLECE CONDICIONES ESPECÍFICAS DE SEGURIDAD Y SALUD EN EL TRABAJO A QUE DEBERÁN SUJETARSE LOS TRABAJADORES QUE PRESTAN SERVICIOS EN LAS MODALIDADES DE TRABAJO A DISTANCIA O TELETRABAJO, DE ACUERDO CON LOS PRINCIPIOS Y CONDICIONES DE LA LEY Nº 16.744</t>
  </si>
  <si>
    <t>Ministerio de Economía, Fomento y Turismo; subsecretaría de Pesca y Acuicultura</t>
  </si>
  <si>
    <t>Ambiental</t>
  </si>
  <si>
    <t>Vigente. Última modificación 08-09-2004, Decreto 601</t>
  </si>
  <si>
    <r>
      <t xml:space="preserve">Artículo 7°, </t>
    </r>
    <r>
      <rPr>
        <sz val="10"/>
        <color rgb="FFFF0000"/>
        <rFont val="Calibri"/>
        <family val="2"/>
        <scheme val="minor"/>
      </rPr>
      <t>inciso 1.-</t>
    </r>
  </si>
  <si>
    <t xml:space="preserve"> </t>
  </si>
  <si>
    <t>DFL 1 FIJA TEXTO REFUNDIDO, COORDINADO Y SISTEMATIZADO DE LA LEY DE TRÁNSITO</t>
  </si>
  <si>
    <t>Ley Nº 19.419 REGULA ACTIVIDADES QUE INDICA RELACIONADAS CON EL TABACO</t>
  </si>
  <si>
    <t>Vigente, última modificación 01-02-2022, ley N° 21.413</t>
  </si>
  <si>
    <t>1. Matriz es revisada por Abogado Nelson Gonzalez, la cual revisa de acuerdo a requerimientos y seguimientos de normativas aplicables
2. Se adoptan las sugerencias realizadas por el abogado
3. Se elimina la pestaña de COVID-19 por ya que los DS 104 y 106 del Ministerio del Interior y Seguridad Pública, normas madres de todas las normas de salud en relación a COVID-19, no estan vigentes.</t>
  </si>
  <si>
    <t>Implementación</t>
  </si>
  <si>
    <t>Auditoria Financiera / RIOHS  / Modelo Prevención del Delito (Implementación)</t>
  </si>
  <si>
    <t>RES EX 1854</t>
  </si>
  <si>
    <t>Res Ex 1854 Subsecretaría de Pesca y Acuicultura, Declara área de plaga y riesgo de plaga Didymo en cuerpos de agua que señala</t>
  </si>
  <si>
    <t>Resolución Exenta 1854, DECLARA AREA DE PLAGA Y DE RIESGO DE PLAGA DIDYMO EN CUERPOS DE AGUA QUE SEÑALA</t>
  </si>
  <si>
    <t>Vigencia 2 años</t>
  </si>
  <si>
    <t>Ordenanza 56</t>
  </si>
  <si>
    <t>ORDENANZA 56, FIJASE EL SIGUIENTE TEXTO REFUNDIDO DE LA ORDENANZA LOCAL N°01, DE 24 DE DICIEMBRE 1996, QUE DETERMINA LA TARIFA DE ASEO DOMICILIARIO, SUS EXENCIONES Y EL COBRO ADICIONAL POR SOBREPRODUCCIÓN</t>
  </si>
  <si>
    <t>Vigente, Última modificación 22-10-2014</t>
  </si>
  <si>
    <t>Informe Riesgo Psicosocial N°139618 DSS SA (proxima evaluacion 2024)</t>
  </si>
  <si>
    <t>RES EX 1448</t>
  </si>
  <si>
    <t>RESOLUCION EXENTA 1448, MINISTERIO DE SALUD, SUBSECRETARIA DE SALUD PUBLICA, ACTUALIZA PROTOCOLO DE VIGILANCIA DE RIESGOS PSICOSOCIALES EN EL TRABAJO Y DEJA SIN EFECTO LA RESOLUCIÓN Nº 1.433 EXENTA, DE 2017, DEL MINISTERIO DE SALUD</t>
  </si>
  <si>
    <t>MODIFICA EL CODIGO DEL TRABAJO CON EL OBJETO DE REDUCIR LA JORNADA LABORAL</t>
  </si>
  <si>
    <t>Vigente, Versión Unica</t>
  </si>
  <si>
    <t>Ley 21561: MINISTERIO DEL TRABAJO Y PREVISION SOCIAL: MODIFICA EL CODIGO DEL TRABAJO CON EL OBJETO DE REDUCIR LA JORNADA LABORAL</t>
  </si>
  <si>
    <t>Verificación de contratos y registros de hora</t>
  </si>
  <si>
    <t>1. Se actualiza Res Ex 719 por Res Ex 1854 por plaga de Didymo
2. Se actualiza Ord 1 por Ord 56, Ilustre Municipalidad San Pedro de la Paz, tarifas aseo
3. Se actualiza Res Ex 1433 por Res Ex 1448, protocolo vigilancia riesgos psicosociales
4. Se Agrega Ley 21561, Reducción Hora Laboral</t>
  </si>
  <si>
    <t>Elaboración  de REGLAMENTO INTERNO DE ORDEN, HIGIENE Y SEGURIDAD, contempla entre otras las siguientes modificaciones: 
-Jornadas de trabajo de 45 hrs.
-Ley Nº 20949, sobre carga máxima humana 
 -Ley Nº 20096, sobre protección solar
-Ley Nº 20101, amplia concepto de Accidente de Trabajo modificaciones de D.S. 101, contiene el    Reglamente General de la Ley Nª 16774.  
-Ley Nº20137 que 0torga permiso laboral por muerte y nacimiento de perientes que indica.
-Ley Nº 20166 quw extiende el derecho de las madres trabajadoras a amamantar a sus hijos aún cuando no exista sala cuna. 
-Circular Nº 3705 de la Superintendencia de seguridad Social.</t>
  </si>
  <si>
    <t>MODIFICA EL TÍTULO II DEL LIBRO II DEL CÓDIGO DEL TRABAJO "DE LA PROTECCIÓN A LA MATERNIDAD, PATERNIDAD Y VIDA FAMILIAR" Y REGULA UN RÉGIMEN DE TRABAJO A DISTANCIA Y TELETRABAJO EN LAS CONDICIONES QUE INDICA</t>
  </si>
  <si>
    <t>MODIFICA EL CÓDIGO DEL TRABAJO Y OTROS CUERPOS LEGALES, EN MATERIA DE PREVENCIÓN, INVESTIGACIÓN Y SANCIÓN DEL ACOSO LABORAL, SEXUAL O DE VIOLENCIA EN EL TRABAJO</t>
  </si>
  <si>
    <t>Ley 21561</t>
  </si>
  <si>
    <t>Ley 21645</t>
  </si>
  <si>
    <t>Ley 21643</t>
  </si>
  <si>
    <t>Decreto 160</t>
  </si>
  <si>
    <t>APRUEBA REGLAMENTO DE SEGURIDAD PARA LAS INSTALACIONES Y OPERACIONES DE PRODUCCIÓN Y REFINACIÓN, TRANSPORTE, ALMACENAMIENTO, DISTRIBUCIÓN Y ABASTECIMIENTO DE COMBUSTIBLES LÍQUIDOS</t>
  </si>
  <si>
    <t>VERIFICACION</t>
  </si>
  <si>
    <t>Ley 21645: MINISTERIO DEL TRABAJO Y PREVISION SOCIAL: DE LA PROTECCIÓN A LA MATERNIDAD, PATERNIDAD Y VIDA FAMILIAR" Y REGULA UN RÉGIMEN DE TRABAJO A DISTANCIA Y TELETRABAJO</t>
  </si>
  <si>
    <t>'MODIFICA EL CÓDIGO DEL TRABAJO Y OTROS CUERPOS LEGALES, EN MATERIA DE PREVENCIÓN, INVESTIGACIÓN Y SANCIÓN DEL ACOSO LABORAL, SEXUAL O DE VIOLENCIA EN EL TRABAJO</t>
  </si>
  <si>
    <t>Ley 21643: MINISTERIO DEL TRABAJO Y PREVISION SOCIAL: PREVENCION, INVESTIGACIÓN Y SANCIÓN DEL ACOSO LABORAL, SEXUAL O DE VIOLENCIA EN EL TRABAJO</t>
  </si>
  <si>
    <t>RIOHS
Aplicación de protocolo</t>
  </si>
  <si>
    <t>Condiciones de almacenaje</t>
  </si>
  <si>
    <t>Decreto 160: MINISTERIO DE ECONOMIA, FOMENTO Y RECONSTRUCCION, SUBSECRETARIA DE ECONOMIA FOMENTO Y RECONSTRUCCION: REGLAMENTO DE SEGURIDAD PARA LAS INSTALACIONES Y OPERACIONES DE PRODUCCIÓN Y REFINACIÓN, TRANSPORTE, ALMACENAMIENTO, DISTRIBUCIÓN Y ABASTECIMIENTO DE COMBUSTIBLES LÍQUIDOS</t>
  </si>
  <si>
    <t>Verificación de contratos 
MIPER Teletrabajo
ODI Teletrabajo</t>
  </si>
  <si>
    <t>NCh2245:2021</t>
  </si>
  <si>
    <r>
      <t xml:space="preserve"> </t>
    </r>
    <r>
      <rPr>
        <sz val="10"/>
        <rFont val="Calibri"/>
        <family val="2"/>
      </rPr>
      <t>El empleador deberá proporcionar a sus trabajadores, libres de todo costo y cualquiera sea la función que éstos desempeñen en la empresa, los elementos de protección personal que cumplan con los requisitos, características y tipos que exige el riesgo a cubrir y la capacitación teórica y práctica necesaria para su correcto empleo debiendo, además, mantenerlos en perfecto estado de funcionamiento. Por su parte el trabajador deberá usarlos en forma permanente mientras se encuentre expuesto al riesgo.</t>
    </r>
  </si>
  <si>
    <t xml:space="preserve">1. Se incluye Ley 21643, Acoso Laboral, sexual y/o violencia en el trabajo </t>
  </si>
  <si>
    <t>1. Se incluye Decreto 44, Gestion preventiva riesgos laborales</t>
  </si>
  <si>
    <t>Ministerio del Trabajo y Previsión Social; Subsecretaría de Prevención social</t>
  </si>
  <si>
    <t>APRUEBA NUEVO REGLAMENTO SOBRE GESTION PREVENTIVA DE LOS RIESGOS LABORALES PARA UN ENTORNO DE TRABAJO SEGURO Y SALUDABLE</t>
  </si>
  <si>
    <t>Decreto 44: MINISTERIO DEL TRABAJO Y PREVISIÓN SOCIAL, SUBSECRETARIA DE PREVISIÓN SOCIAL</t>
  </si>
  <si>
    <t>1. Matriz es revisada por el abogado Nelson González, con la finalidad de verificar la vigencia normativa. Se advierte que el artículo Segundo Transitorio del Decreto N° 44, sobre Gestión Preventiva de Riesgos Laborales, Del Ministerio del Trabajo y Previsión Social, del año 2024 (con vigencia a partir de febrero del 2025) derogó los Decretos Supremos N° 40 y 54, ambos del año 1969 y del mismo Ministerio del Trabajo y previsión Social.
2.- De acuerdo a lo señalado precedentemente, se elimina de la pestaña "resumen" ambos decretos, como también las 2 pestañas que contenían el detalle de ambas normas derogadas.</t>
  </si>
  <si>
    <t>CUMPLIMIENTO CON  IRL
MIPER
PLAN DE EMERGENCIA
PLAN DE GESTION DE RIESGOS DE DESASTRES Y CATASTROFES
MAPA DE RIESGOS Y RECURSOS (INTERNO)
MAPA DE RIESGOS Y RECURSOS EXTERIOR</t>
  </si>
  <si>
    <t>DS 609</t>
  </si>
  <si>
    <t>Ley 21122</t>
  </si>
  <si>
    <t>Ley 19.983</t>
  </si>
  <si>
    <t>1. Revisión interna, se modifica complementariamente las evidencias de cumplimiento del Decreto 44
2. Se eliminan columnas de Calidad, Ambiente y Seguridad y solo se conserva columna Area, que cumple misma función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</si>
</sst>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 #,##0_ ;_ * \-#,##0_ ;_ * &quot;-&quot;_ ;_ @_ "/>
  </numFmts>
  <fonts count="29" x14ac:knownFonts="1">
    <font>
      <sz val="10"/>
      <name val="Arial"/>
    </font>
    <font>
      <sz val="10"/>
      <name val="Arial"/>
      <family val="2"/>
    </font>
    <font>
      <u/>
      <sz val="10"/>
      <color indexed="12"/>
      <name val="Arial"/>
      <family val="2"/>
    </font>
    <font>
      <sz val="10"/>
      <name val="Arial"/>
      <family val="2"/>
    </font>
    <font>
      <sz val="10"/>
      <name val="Calibri"/>
      <family val="2"/>
    </font>
    <font>
      <b/>
      <sz val="10"/>
      <name val="Calibri"/>
      <family val="2"/>
    </font>
    <font>
      <b/>
      <sz val="10"/>
      <name val="Arial"/>
      <family val="2"/>
    </font>
    <font>
      <b/>
      <sz val="12"/>
      <name val="Arial"/>
      <family val="2"/>
    </font>
    <font>
      <sz val="10"/>
      <name val="Arial"/>
      <family val="2"/>
    </font>
    <font>
      <sz val="10"/>
      <name val="Calibri"/>
      <family val="2"/>
      <scheme val="minor"/>
    </font>
    <font>
      <b/>
      <sz val="10"/>
      <name val="Calibri"/>
      <family val="2"/>
      <scheme val="minor"/>
    </font>
    <font>
      <u/>
      <sz val="10"/>
      <color indexed="12"/>
      <name val="Calibri"/>
      <family val="2"/>
      <scheme val="minor"/>
    </font>
    <font>
      <sz val="10"/>
      <color rgb="FF666666"/>
      <name val="Calibri"/>
      <family val="2"/>
      <scheme val="minor"/>
    </font>
    <font>
      <sz val="10"/>
      <color rgb="FFFF0000"/>
      <name val="Calibri"/>
      <family val="2"/>
      <scheme val="minor"/>
    </font>
    <font>
      <b/>
      <sz val="10"/>
      <color rgb="FFFF0000"/>
      <name val="Calibri"/>
      <family val="2"/>
      <scheme val="minor"/>
    </font>
    <font>
      <sz val="10"/>
      <name val="Arial"/>
      <family val="2"/>
    </font>
    <font>
      <sz val="10"/>
      <color rgb="FFFF0000"/>
      <name val="Arial"/>
      <family val="2"/>
    </font>
    <font>
      <sz val="10"/>
      <color indexed="81"/>
      <name val="Tahoma"/>
      <family val="2"/>
    </font>
    <font>
      <b/>
      <sz val="10"/>
      <color indexed="81"/>
      <name val="Tahoma"/>
      <family val="2"/>
    </font>
    <font>
      <sz val="10"/>
      <color rgb="FFFF0000"/>
      <name val="Calibri"/>
      <family val="2"/>
    </font>
    <font>
      <sz val="14"/>
      <color rgb="FFFF0000"/>
      <name val="Courier New"/>
      <family val="3"/>
    </font>
    <font>
      <sz val="10"/>
      <color rgb="FF000000"/>
      <name val="Courier New"/>
      <family val="3"/>
    </font>
    <font>
      <b/>
      <sz val="10"/>
      <color rgb="FFFF0000"/>
      <name val="Arial"/>
      <family val="2"/>
    </font>
    <font>
      <i/>
      <sz val="10"/>
      <color indexed="81"/>
      <name val="Tahoma"/>
      <family val="2"/>
    </font>
    <font>
      <b/>
      <sz val="10"/>
      <color rgb="FFFF0000"/>
      <name val="Calibri"/>
      <family val="2"/>
    </font>
    <font>
      <u/>
      <sz val="10"/>
      <color rgb="FFFF0000"/>
      <name val="Arial"/>
      <family val="2"/>
    </font>
    <font>
      <sz val="10"/>
      <color indexed="12"/>
      <name val="Arial"/>
      <family val="2"/>
    </font>
    <font>
      <sz val="9"/>
      <color indexed="81"/>
      <name val="Tahoma"/>
      <family val="2"/>
    </font>
    <font>
      <b/>
      <sz val="9"/>
      <color indexed="81"/>
      <name val="Tahoma"/>
      <family val="2"/>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00B05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4">
    <xf numFmtId="0" fontId="0" fillId="0" borderId="0"/>
    <xf numFmtId="0" fontId="2" fillId="0" borderId="0" applyNumberFormat="0" applyFill="0" applyBorder="0" applyAlignment="0" applyProtection="0">
      <alignment vertical="top"/>
      <protection locked="0"/>
    </xf>
    <xf numFmtId="9" fontId="1" fillId="0" borderId="0" applyFont="0" applyFill="0" applyBorder="0" applyAlignment="0" applyProtection="0"/>
    <xf numFmtId="41" fontId="15" fillId="0" borderId="0" applyFont="0" applyFill="0" applyBorder="0" applyAlignment="0" applyProtection="0"/>
  </cellStyleXfs>
  <cellXfs count="252">
    <xf numFmtId="0" fontId="0" fillId="0" borderId="0" xfId="0"/>
    <xf numFmtId="0" fontId="9" fillId="0" borderId="0" xfId="0" applyFont="1" applyAlignment="1">
      <alignment vertical="center"/>
    </xf>
    <xf numFmtId="0" fontId="10" fillId="0" borderId="1" xfId="0" applyFont="1" applyBorder="1" applyAlignment="1">
      <alignment horizontal="justify" vertical="center" wrapText="1"/>
    </xf>
    <xf numFmtId="0" fontId="10" fillId="0" borderId="1"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justify" vertical="center" wrapText="1"/>
    </xf>
    <xf numFmtId="0" fontId="10" fillId="2" borderId="1" xfId="0" applyFont="1" applyFill="1" applyBorder="1" applyAlignment="1">
      <alignment horizontal="center" vertical="center" wrapText="1"/>
    </xf>
    <xf numFmtId="0" fontId="9" fillId="2" borderId="0" xfId="0" applyFont="1" applyFill="1" applyAlignment="1">
      <alignment vertical="center"/>
    </xf>
    <xf numFmtId="0" fontId="9" fillId="0" borderId="1" xfId="0" applyFont="1" applyBorder="1" applyAlignment="1">
      <alignment horizontal="left" vertical="center"/>
    </xf>
    <xf numFmtId="0" fontId="9" fillId="0" borderId="1" xfId="0" applyFont="1" applyBorder="1" applyAlignment="1">
      <alignment horizontal="left" vertical="center" wrapText="1"/>
    </xf>
    <xf numFmtId="0" fontId="9" fillId="0" borderId="1" xfId="0" applyFont="1" applyBorder="1" applyAlignment="1">
      <alignment vertical="center"/>
    </xf>
    <xf numFmtId="0" fontId="9" fillId="0" borderId="1" xfId="0" applyFont="1" applyBorder="1" applyAlignment="1">
      <alignment horizontal="center" vertical="center"/>
    </xf>
    <xf numFmtId="0" fontId="9" fillId="0" borderId="1" xfId="0" applyFont="1" applyBorder="1"/>
    <xf numFmtId="0" fontId="9" fillId="0" borderId="1" xfId="0" applyFont="1" applyBorder="1" applyAlignment="1">
      <alignment vertical="center" wrapText="1"/>
    </xf>
    <xf numFmtId="14" fontId="9" fillId="0" borderId="1" xfId="0" applyNumberFormat="1" applyFont="1" applyBorder="1" applyAlignment="1">
      <alignment horizontal="left"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3" fillId="0" borderId="0" xfId="0" applyFont="1"/>
    <xf numFmtId="0" fontId="0" fillId="0" borderId="0" xfId="0" applyAlignment="1">
      <alignment horizontal="center"/>
    </xf>
    <xf numFmtId="0" fontId="9" fillId="0" borderId="1" xfId="0" applyFont="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9" fontId="3" fillId="0" borderId="1" xfId="2" applyFont="1" applyBorder="1" applyAlignment="1">
      <alignment horizontal="center" vertical="center"/>
    </xf>
    <xf numFmtId="0" fontId="3" fillId="0" borderId="0" xfId="0" applyFont="1" applyAlignment="1">
      <alignment horizontal="center" vertical="center"/>
    </xf>
    <xf numFmtId="9" fontId="3" fillId="0" borderId="0" xfId="2" applyFont="1" applyAlignment="1">
      <alignment horizontal="center" vertical="center"/>
    </xf>
    <xf numFmtId="0" fontId="3" fillId="0" borderId="0" xfId="0" applyFont="1" applyAlignment="1">
      <alignment vertical="center"/>
    </xf>
    <xf numFmtId="0" fontId="3" fillId="3" borderId="1" xfId="0" applyFont="1" applyFill="1" applyBorder="1" applyAlignment="1">
      <alignment horizontal="center" vertical="center"/>
    </xf>
    <xf numFmtId="0" fontId="3" fillId="3" borderId="0" xfId="0" applyFont="1" applyFill="1" applyAlignment="1">
      <alignment vertical="center"/>
    </xf>
    <xf numFmtId="0" fontId="6" fillId="3" borderId="1" xfId="0" applyFont="1" applyFill="1" applyBorder="1" applyAlignment="1">
      <alignment horizontal="center" vertical="center" wrapText="1"/>
    </xf>
    <xf numFmtId="9" fontId="9" fillId="0" borderId="1" xfId="0" applyNumberFormat="1" applyFont="1" applyBorder="1" applyAlignment="1">
      <alignment horizontal="center" vertical="center"/>
    </xf>
    <xf numFmtId="9" fontId="9" fillId="0" borderId="1" xfId="0" applyNumberFormat="1" applyFont="1" applyBorder="1" applyAlignment="1">
      <alignment horizontal="center" vertical="center" wrapText="1"/>
    </xf>
    <xf numFmtId="9" fontId="9" fillId="0" borderId="1" xfId="0" applyNumberFormat="1" applyFont="1" applyBorder="1" applyAlignment="1">
      <alignment horizontal="left" vertical="center"/>
    </xf>
    <xf numFmtId="0" fontId="10" fillId="4" borderId="1" xfId="0" applyFont="1" applyFill="1" applyBorder="1" applyAlignment="1">
      <alignment vertical="center"/>
    </xf>
    <xf numFmtId="0" fontId="10" fillId="5" borderId="1" xfId="0" applyFont="1" applyFill="1" applyBorder="1" applyAlignment="1">
      <alignment horizontal="center" vertical="center" wrapText="1"/>
    </xf>
    <xf numFmtId="0" fontId="2" fillId="0" borderId="0" xfId="1" applyAlignment="1" applyProtection="1"/>
    <xf numFmtId="0" fontId="4" fillId="0" borderId="1" xfId="0" applyFont="1" applyBorder="1" applyAlignment="1">
      <alignment horizontal="justify" vertical="center" wrapText="1"/>
    </xf>
    <xf numFmtId="0" fontId="2" fillId="0" borderId="1" xfId="1" applyBorder="1" applyAlignment="1" applyProtection="1">
      <alignment vertical="center" wrapText="1"/>
    </xf>
    <xf numFmtId="0" fontId="10" fillId="5" borderId="2" xfId="0" applyFont="1" applyFill="1" applyBorder="1" applyAlignment="1">
      <alignment horizontal="center" vertical="center" wrapText="1"/>
    </xf>
    <xf numFmtId="0" fontId="9" fillId="0" borderId="1" xfId="0" applyFont="1" applyBorder="1" applyAlignment="1">
      <alignment horizontal="center"/>
    </xf>
    <xf numFmtId="0" fontId="9" fillId="0" borderId="1" xfId="0" applyFont="1" applyBorder="1" applyAlignment="1">
      <alignment horizontal="justify" vertical="top" wrapText="1"/>
    </xf>
    <xf numFmtId="9" fontId="9" fillId="0" borderId="1" xfId="2" applyFont="1" applyBorder="1" applyAlignment="1">
      <alignment horizontal="left" vertical="center" wrapText="1"/>
    </xf>
    <xf numFmtId="0" fontId="11" fillId="0" borderId="1" xfId="1" applyFont="1" applyBorder="1" applyAlignment="1" applyProtection="1">
      <alignment vertical="center" wrapText="1"/>
    </xf>
    <xf numFmtId="0" fontId="0" fillId="0" borderId="1" xfId="0" applyBorder="1" applyAlignment="1">
      <alignment horizontal="center" vertical="center"/>
    </xf>
    <xf numFmtId="0" fontId="9" fillId="0" borderId="0" xfId="0" applyFont="1" applyAlignment="1">
      <alignment horizontal="justify"/>
    </xf>
    <xf numFmtId="0" fontId="0" fillId="0" borderId="0" xfId="0" applyAlignment="1">
      <alignment horizontal="justify"/>
    </xf>
    <xf numFmtId="0" fontId="10" fillId="0" borderId="2" xfId="0" applyFont="1" applyBorder="1" applyAlignment="1">
      <alignment horizontal="center" vertical="center" wrapText="1"/>
    </xf>
    <xf numFmtId="0" fontId="9" fillId="0" borderId="2" xfId="0" applyFont="1" applyBorder="1" applyAlignment="1">
      <alignment horizontal="center" vertical="center" wrapText="1"/>
    </xf>
    <xf numFmtId="0" fontId="5" fillId="2" borderId="1" xfId="0" applyFont="1" applyFill="1" applyBorder="1" applyAlignment="1">
      <alignment horizontal="justify" vertical="center" wrapText="1"/>
    </xf>
    <xf numFmtId="0" fontId="5" fillId="0" borderId="1" xfId="0" applyFont="1" applyBorder="1" applyAlignment="1">
      <alignment horizontal="justify" vertical="center" wrapText="1"/>
    </xf>
    <xf numFmtId="2" fontId="4" fillId="0" borderId="1" xfId="0" applyNumberFormat="1" applyFont="1" applyBorder="1" applyAlignment="1">
      <alignment horizontal="justify" vertical="center" wrapText="1"/>
    </xf>
    <xf numFmtId="9" fontId="9" fillId="0" borderId="2" xfId="0" applyNumberFormat="1" applyFont="1" applyBorder="1" applyAlignment="1">
      <alignment horizontal="center" vertical="center" wrapText="1"/>
    </xf>
    <xf numFmtId="0" fontId="0" fillId="0" borderId="1" xfId="0" applyBorder="1"/>
    <xf numFmtId="9" fontId="3" fillId="0" borderId="0" xfId="2" applyFont="1" applyAlignment="1">
      <alignment horizontal="left"/>
    </xf>
    <xf numFmtId="0" fontId="9" fillId="2" borderId="1" xfId="0" applyFont="1" applyFill="1" applyBorder="1" applyAlignment="1">
      <alignment horizontal="center" vertical="center" wrapText="1"/>
    </xf>
    <xf numFmtId="0" fontId="12" fillId="0" borderId="0" xfId="0" applyFont="1" applyAlignment="1">
      <alignment vertical="center"/>
    </xf>
    <xf numFmtId="0" fontId="0" fillId="0" borderId="1" xfId="0" applyBorder="1" applyAlignment="1">
      <alignment horizontal="center"/>
    </xf>
    <xf numFmtId="9" fontId="10" fillId="0" borderId="1" xfId="2" applyFont="1" applyBorder="1" applyAlignment="1">
      <alignment horizontal="left" vertical="center" wrapText="1"/>
    </xf>
    <xf numFmtId="0" fontId="0" fillId="0" borderId="0" xfId="0" applyAlignment="1">
      <alignment vertical="center"/>
    </xf>
    <xf numFmtId="9" fontId="0" fillId="0" borderId="1" xfId="0" applyNumberFormat="1" applyBorder="1" applyAlignment="1">
      <alignment horizontal="left"/>
    </xf>
    <xf numFmtId="9" fontId="10" fillId="0" borderId="1" xfId="0" applyNumberFormat="1" applyFont="1" applyBorder="1" applyAlignment="1">
      <alignment horizontal="center" vertical="center" wrapText="1"/>
    </xf>
    <xf numFmtId="0" fontId="0" fillId="0" borderId="1" xfId="0" applyBorder="1" applyAlignment="1">
      <alignment vertical="center"/>
    </xf>
    <xf numFmtId="0" fontId="2" fillId="0" borderId="1" xfId="1" applyBorder="1" applyAlignment="1" applyProtection="1">
      <alignment wrapText="1"/>
    </xf>
    <xf numFmtId="0" fontId="2" fillId="0" borderId="1" xfId="1" applyBorder="1" applyAlignment="1" applyProtection="1">
      <alignment horizontal="left" vertical="center" wrapText="1"/>
    </xf>
    <xf numFmtId="17" fontId="9" fillId="0" borderId="1" xfId="0" applyNumberFormat="1" applyFont="1" applyBorder="1" applyAlignment="1">
      <alignment vertical="center" wrapText="1"/>
    </xf>
    <xf numFmtId="0" fontId="3" fillId="0" borderId="1" xfId="0" applyFont="1" applyBorder="1" applyAlignment="1">
      <alignment vertical="center"/>
    </xf>
    <xf numFmtId="0" fontId="2" fillId="0" borderId="0" xfId="1" applyAlignment="1" applyProtection="1">
      <alignment vertical="center" wrapText="1"/>
    </xf>
    <xf numFmtId="0" fontId="4" fillId="2" borderId="1" xfId="0" applyFont="1" applyFill="1" applyBorder="1" applyAlignment="1">
      <alignment horizontal="justify" vertical="center" wrapText="1"/>
    </xf>
    <xf numFmtId="9" fontId="9" fillId="0" borderId="1" xfId="2" applyFont="1" applyBorder="1" applyAlignment="1">
      <alignment horizontal="center" vertical="center"/>
    </xf>
    <xf numFmtId="9" fontId="9" fillId="0" borderId="1" xfId="2" applyFont="1" applyBorder="1" applyAlignment="1">
      <alignment horizontal="center" vertical="center" wrapText="1"/>
    </xf>
    <xf numFmtId="9" fontId="0" fillId="0" borderId="1" xfId="2" applyFont="1" applyBorder="1" applyAlignment="1">
      <alignment vertical="center"/>
    </xf>
    <xf numFmtId="0" fontId="3" fillId="0" borderId="1" xfId="0" applyFont="1" applyBorder="1" applyAlignment="1">
      <alignment vertical="center" wrapText="1"/>
    </xf>
    <xf numFmtId="0" fontId="2" fillId="0" borderId="0" xfId="1" applyAlignment="1" applyProtection="1">
      <alignment horizontal="justify" wrapText="1"/>
    </xf>
    <xf numFmtId="0" fontId="3" fillId="0" borderId="1" xfId="0" quotePrefix="1" applyFont="1" applyBorder="1" applyAlignment="1">
      <alignment horizontal="center" vertical="center"/>
    </xf>
    <xf numFmtId="0" fontId="0" fillId="0" borderId="0" xfId="0" applyAlignment="1">
      <alignment wrapText="1"/>
    </xf>
    <xf numFmtId="0" fontId="2" fillId="0" borderId="0" xfId="1" applyAlignment="1" applyProtection="1">
      <alignment wrapText="1"/>
    </xf>
    <xf numFmtId="0" fontId="9" fillId="0" borderId="0" xfId="0" applyFont="1" applyAlignment="1">
      <alignment vertical="center" wrapText="1"/>
    </xf>
    <xf numFmtId="9" fontId="0" fillId="0" borderId="3" xfId="0" applyNumberFormat="1" applyBorder="1" applyAlignment="1">
      <alignment horizontal="left"/>
    </xf>
    <xf numFmtId="0" fontId="2" fillId="0" borderId="1" xfId="1" applyBorder="1" applyAlignment="1" applyProtection="1">
      <alignment horizontal="center" wrapText="1"/>
    </xf>
    <xf numFmtId="0" fontId="5" fillId="2" borderId="2" xfId="0" applyFont="1" applyFill="1" applyBorder="1" applyAlignment="1">
      <alignment horizontal="justify" vertical="center" wrapText="1"/>
    </xf>
    <xf numFmtId="9" fontId="3" fillId="3" borderId="1" xfId="2" applyFont="1" applyFill="1" applyBorder="1" applyAlignment="1">
      <alignment horizontal="center" vertical="center"/>
    </xf>
    <xf numFmtId="9" fontId="9" fillId="0" borderId="3" xfId="2" applyFont="1" applyBorder="1" applyAlignment="1">
      <alignment horizontal="left" vertical="center" wrapText="1"/>
    </xf>
    <xf numFmtId="0" fontId="10" fillId="4" borderId="1" xfId="0" applyFont="1" applyFill="1" applyBorder="1" applyAlignment="1">
      <alignment horizontal="center" vertical="center"/>
    </xf>
    <xf numFmtId="0" fontId="3" fillId="0" borderId="0" xfId="0" applyFont="1" applyAlignment="1">
      <alignment wrapText="1"/>
    </xf>
    <xf numFmtId="0" fontId="3" fillId="0" borderId="0" xfId="0" applyFont="1" applyAlignment="1">
      <alignment vertical="center" wrapText="1"/>
    </xf>
    <xf numFmtId="0" fontId="4" fillId="0" borderId="1" xfId="0" applyFont="1" applyBorder="1" applyAlignment="1">
      <alignment horizontal="center" vertical="center" wrapText="1"/>
    </xf>
    <xf numFmtId="0" fontId="3" fillId="0" borderId="1" xfId="0" applyFont="1" applyBorder="1" applyAlignment="1">
      <alignment horizontal="left" vertical="center" wrapText="1"/>
    </xf>
    <xf numFmtId="0" fontId="9" fillId="0" borderId="0" xfId="0" applyFont="1" applyAlignment="1">
      <alignment horizontal="center" vertical="center"/>
    </xf>
    <xf numFmtId="0" fontId="9" fillId="0" borderId="4" xfId="0" applyFont="1" applyBorder="1" applyAlignment="1">
      <alignment vertical="center" wrapText="1"/>
    </xf>
    <xf numFmtId="0" fontId="9" fillId="3" borderId="1" xfId="0" applyFont="1" applyFill="1" applyBorder="1" applyAlignment="1">
      <alignment horizontal="justify" vertical="top" wrapText="1"/>
    </xf>
    <xf numFmtId="0" fontId="9" fillId="3" borderId="1" xfId="0" applyFont="1" applyFill="1" applyBorder="1" applyAlignment="1">
      <alignment horizontal="center" vertical="center" wrapText="1"/>
    </xf>
    <xf numFmtId="0" fontId="3" fillId="3" borderId="0" xfId="0" applyFont="1" applyFill="1"/>
    <xf numFmtId="0" fontId="3" fillId="3" borderId="1" xfId="0" quotePrefix="1" applyFont="1" applyFill="1" applyBorder="1" applyAlignment="1">
      <alignment horizontal="center" vertical="center"/>
    </xf>
    <xf numFmtId="0" fontId="9" fillId="0" borderId="1" xfId="0" applyFont="1" applyBorder="1" applyAlignment="1">
      <alignment horizontal="center" wrapText="1"/>
    </xf>
    <xf numFmtId="0" fontId="10" fillId="0" borderId="1" xfId="0" applyFont="1" applyBorder="1" applyAlignment="1">
      <alignment horizontal="left" vertical="center" wrapText="1"/>
    </xf>
    <xf numFmtId="0" fontId="10" fillId="2" borderId="1" xfId="0" applyFont="1" applyFill="1" applyBorder="1" applyAlignment="1">
      <alignment horizontal="left" vertical="center" wrapText="1"/>
    </xf>
    <xf numFmtId="0" fontId="3" fillId="0" borderId="0" xfId="0" applyFont="1" applyAlignment="1">
      <alignment horizontal="center" vertical="center" wrapText="1"/>
    </xf>
    <xf numFmtId="9" fontId="3" fillId="0" borderId="1" xfId="0" applyNumberFormat="1" applyFont="1" applyBorder="1" applyAlignment="1">
      <alignment horizontal="center" vertical="center"/>
    </xf>
    <xf numFmtId="9" fontId="6"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9" fontId="0" fillId="0" borderId="1" xfId="0" applyNumberFormat="1" applyBorder="1"/>
    <xf numFmtId="9" fontId="3" fillId="0" borderId="1" xfId="0" quotePrefix="1" applyNumberFormat="1" applyFont="1" applyBorder="1" applyAlignment="1">
      <alignment horizontal="center" vertical="center"/>
    </xf>
    <xf numFmtId="9" fontId="0" fillId="0" borderId="1" xfId="0" applyNumberFormat="1" applyBorder="1" applyAlignment="1">
      <alignment horizontal="center" vertical="center"/>
    </xf>
    <xf numFmtId="9" fontId="8" fillId="0" borderId="1" xfId="2" applyFont="1" applyBorder="1" applyAlignment="1">
      <alignment vertical="center"/>
    </xf>
    <xf numFmtId="0" fontId="4" fillId="0" borderId="2" xfId="0" applyFont="1" applyBorder="1" applyAlignment="1">
      <alignment horizontal="center" vertical="center" wrapText="1"/>
    </xf>
    <xf numFmtId="0" fontId="9" fillId="0" borderId="4" xfId="0" applyFont="1" applyBorder="1" applyAlignment="1">
      <alignment horizontal="center" vertical="center" wrapText="1"/>
    </xf>
    <xf numFmtId="9" fontId="3" fillId="0" borderId="4" xfId="0" applyNumberFormat="1" applyFont="1" applyBorder="1" applyAlignment="1">
      <alignment horizontal="center" vertical="center"/>
    </xf>
    <xf numFmtId="0" fontId="6" fillId="0" borderId="4" xfId="0" applyFont="1" applyBorder="1" applyAlignment="1">
      <alignment horizontal="center" vertical="center"/>
    </xf>
    <xf numFmtId="9" fontId="9" fillId="0" borderId="4" xfId="0" applyNumberFormat="1" applyFont="1" applyBorder="1" applyAlignment="1">
      <alignment vertical="center" wrapText="1"/>
    </xf>
    <xf numFmtId="9" fontId="9" fillId="0" borderId="1" xfId="0" applyNumberFormat="1" applyFont="1" applyBorder="1" applyAlignment="1">
      <alignment vertical="center" wrapText="1"/>
    </xf>
    <xf numFmtId="9" fontId="0" fillId="0" borderId="1" xfId="0" applyNumberFormat="1" applyBorder="1" applyAlignment="1">
      <alignment horizontal="center"/>
    </xf>
    <xf numFmtId="0" fontId="0" fillId="0" borderId="0" xfId="0" applyAlignment="1">
      <alignment vertical="center" wrapText="1"/>
    </xf>
    <xf numFmtId="0" fontId="0" fillId="0" borderId="1" xfId="0" applyBorder="1" applyAlignment="1">
      <alignment vertical="center" wrapText="1"/>
    </xf>
    <xf numFmtId="0" fontId="2" fillId="0" borderId="1" xfId="1" applyBorder="1" applyAlignment="1" applyProtection="1">
      <alignment horizontal="justify" vertical="center" wrapText="1"/>
    </xf>
    <xf numFmtId="0" fontId="2" fillId="3" borderId="1" xfId="1" applyFill="1" applyBorder="1" applyAlignment="1" applyProtection="1">
      <alignment horizontal="justify" vertical="center" wrapText="1"/>
    </xf>
    <xf numFmtId="0" fontId="3" fillId="0" borderId="0" xfId="0" applyFont="1" applyAlignment="1">
      <alignment horizontal="justify" vertical="center" wrapText="1"/>
    </xf>
    <xf numFmtId="0" fontId="2" fillId="0" borderId="1" xfId="1" quotePrefix="1" applyBorder="1" applyAlignment="1" applyProtection="1">
      <alignment horizontal="justify" vertical="center" wrapText="1"/>
    </xf>
    <xf numFmtId="14" fontId="0" fillId="0" borderId="1" xfId="0" applyNumberFormat="1" applyBorder="1" applyAlignment="1">
      <alignment vertical="center"/>
    </xf>
    <xf numFmtId="14" fontId="2" fillId="0" borderId="1" xfId="1" applyNumberFormat="1" applyBorder="1" applyAlignment="1" applyProtection="1">
      <alignment horizontal="justify" vertical="center" wrapText="1"/>
    </xf>
    <xf numFmtId="0" fontId="9" fillId="0" borderId="1" xfId="0" applyFont="1" applyBorder="1" applyAlignment="1">
      <alignment horizontal="center" vertical="top" wrapText="1"/>
    </xf>
    <xf numFmtId="0" fontId="2" fillId="0" borderId="0" xfId="1" applyAlignment="1" applyProtection="1">
      <alignment horizontal="center" vertical="center" wrapText="1"/>
    </xf>
    <xf numFmtId="9" fontId="10" fillId="0" borderId="1" xfId="2" applyFont="1" applyBorder="1" applyAlignment="1">
      <alignment horizontal="center" vertical="center" wrapText="1"/>
    </xf>
    <xf numFmtId="0" fontId="1" fillId="0" borderId="1" xfId="0" applyFont="1" applyBorder="1" applyAlignment="1">
      <alignment horizontal="center" vertical="center"/>
    </xf>
    <xf numFmtId="0" fontId="1" fillId="0" borderId="1" xfId="0" quotePrefix="1" applyFont="1" applyBorder="1" applyAlignment="1">
      <alignment horizontal="center" vertical="center" wrapText="1"/>
    </xf>
    <xf numFmtId="0" fontId="1" fillId="0" borderId="1" xfId="0" applyFont="1" applyBorder="1" applyAlignment="1">
      <alignment horizontal="center" vertical="center" wrapText="1"/>
    </xf>
    <xf numFmtId="0" fontId="1" fillId="3" borderId="1" xfId="0" applyFont="1" applyFill="1" applyBorder="1" applyAlignment="1">
      <alignment horizontal="center" vertical="center"/>
    </xf>
    <xf numFmtId="0" fontId="2" fillId="0" borderId="1" xfId="1" applyFill="1" applyBorder="1" applyAlignment="1" applyProtection="1">
      <alignment horizontal="left" wrapText="1"/>
    </xf>
    <xf numFmtId="0" fontId="2" fillId="0" borderId="1" xfId="1" applyFill="1" applyBorder="1" applyAlignment="1" applyProtection="1">
      <alignment horizontal="left" vertical="center" wrapText="1"/>
    </xf>
    <xf numFmtId="0" fontId="1" fillId="0" borderId="1" xfId="0" applyFont="1" applyBorder="1" applyAlignment="1">
      <alignment vertical="center" wrapText="1"/>
    </xf>
    <xf numFmtId="9" fontId="13" fillId="0" borderId="1" xfId="2" applyFont="1" applyBorder="1" applyAlignment="1">
      <alignment horizontal="center" vertical="center" wrapText="1"/>
    </xf>
    <xf numFmtId="0" fontId="2" fillId="0" borderId="0" xfId="1" applyFill="1" applyAlignment="1" applyProtection="1"/>
    <xf numFmtId="0" fontId="2" fillId="0" borderId="0" xfId="1" applyFill="1" applyAlignment="1" applyProtection="1">
      <alignment wrapText="1"/>
    </xf>
    <xf numFmtId="0" fontId="10" fillId="3" borderId="1" xfId="0" applyFont="1" applyFill="1" applyBorder="1" applyAlignment="1">
      <alignment horizontal="center" vertical="center" wrapText="1"/>
    </xf>
    <xf numFmtId="0" fontId="0" fillId="3" borderId="0" xfId="0" applyFill="1"/>
    <xf numFmtId="14" fontId="2" fillId="3" borderId="1" xfId="1" applyNumberFormat="1" applyFill="1" applyBorder="1" applyAlignment="1" applyProtection="1">
      <alignment horizontal="justify" vertical="center" wrapText="1"/>
    </xf>
    <xf numFmtId="0" fontId="2" fillId="0" borderId="1" xfId="1" applyFill="1" applyBorder="1" applyAlignment="1" applyProtection="1">
      <alignment horizontal="justify" vertical="center" wrapText="1"/>
    </xf>
    <xf numFmtId="14" fontId="2" fillId="0" borderId="1" xfId="1" applyNumberFormat="1" applyFill="1" applyBorder="1" applyAlignment="1" applyProtection="1">
      <alignment horizontal="justify" vertical="center" wrapText="1"/>
    </xf>
    <xf numFmtId="0" fontId="1" fillId="3" borderId="1" xfId="0" applyFont="1" applyFill="1" applyBorder="1" applyAlignment="1">
      <alignment vertical="center"/>
    </xf>
    <xf numFmtId="0" fontId="2" fillId="0" borderId="1" xfId="1" quotePrefix="1" applyFill="1" applyBorder="1" applyAlignment="1" applyProtection="1">
      <alignment horizontal="justify" vertical="center" wrapText="1"/>
    </xf>
    <xf numFmtId="0" fontId="1" fillId="0" borderId="0" xfId="0" applyFont="1" applyAlignment="1">
      <alignment wrapText="1"/>
    </xf>
    <xf numFmtId="0" fontId="1" fillId="0" borderId="1" xfId="1" applyFont="1" applyFill="1" applyBorder="1" applyAlignment="1" applyProtection="1">
      <alignment horizontal="center" vertical="center"/>
    </xf>
    <xf numFmtId="0" fontId="10" fillId="4" borderId="10" xfId="0" applyFont="1" applyFill="1" applyBorder="1" applyAlignment="1">
      <alignment horizontal="center" vertical="center"/>
    </xf>
    <xf numFmtId="0" fontId="10" fillId="4" borderId="11" xfId="0" applyFont="1" applyFill="1" applyBorder="1" applyAlignment="1">
      <alignment horizontal="center" vertical="center"/>
    </xf>
    <xf numFmtId="0" fontId="10" fillId="4" borderId="10" xfId="0" applyFont="1" applyFill="1" applyBorder="1" applyAlignment="1">
      <alignment horizontal="center" vertical="center" wrapText="1"/>
    </xf>
    <xf numFmtId="0" fontId="10" fillId="4" borderId="11" xfId="0" applyFont="1" applyFill="1" applyBorder="1" applyAlignment="1">
      <alignment horizontal="center" vertical="center" wrapText="1"/>
    </xf>
    <xf numFmtId="41" fontId="9" fillId="0" borderId="1" xfId="3" applyFont="1" applyBorder="1" applyAlignment="1">
      <alignment horizontal="center" vertical="center" wrapText="1"/>
    </xf>
    <xf numFmtId="14" fontId="1" fillId="0" borderId="1" xfId="0" applyNumberFormat="1" applyFont="1" applyBorder="1" applyAlignment="1">
      <alignment horizontal="center" vertical="center" wrapText="1"/>
    </xf>
    <xf numFmtId="0" fontId="2" fillId="0" borderId="1" xfId="1" quotePrefix="1" applyFill="1" applyBorder="1" applyAlignment="1" applyProtection="1">
      <alignment vertical="center"/>
    </xf>
    <xf numFmtId="0" fontId="16" fillId="3" borderId="1" xfId="0" applyFont="1" applyFill="1" applyBorder="1" applyAlignment="1">
      <alignment horizontal="center" vertical="center"/>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13" fillId="0" borderId="1" xfId="0" applyFont="1" applyBorder="1" applyAlignment="1">
      <alignment horizontal="justify" vertical="center" wrapText="1"/>
    </xf>
    <xf numFmtId="0" fontId="13" fillId="0" borderId="1" xfId="0" applyFont="1" applyBorder="1" applyAlignment="1">
      <alignment vertical="center" wrapText="1"/>
    </xf>
    <xf numFmtId="9" fontId="13" fillId="0" borderId="1" xfId="0" applyNumberFormat="1" applyFont="1" applyBorder="1" applyAlignment="1">
      <alignment horizontal="center" vertical="center" wrapText="1"/>
    </xf>
    <xf numFmtId="0" fontId="9" fillId="0" borderId="1" xfId="0" applyFont="1" applyBorder="1" applyAlignment="1">
      <alignment horizontal="center" vertical="justify" wrapText="1"/>
    </xf>
    <xf numFmtId="0" fontId="9" fillId="0" borderId="1" xfId="0" applyFont="1" applyBorder="1" applyAlignment="1">
      <alignment horizontal="justify" vertical="justify" wrapText="1"/>
    </xf>
    <xf numFmtId="0" fontId="16" fillId="3" borderId="1"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justify" vertical="top" wrapText="1"/>
    </xf>
    <xf numFmtId="0" fontId="16" fillId="0" borderId="0" xfId="0" applyFont="1" applyAlignment="1">
      <alignment vertical="center" wrapText="1"/>
    </xf>
    <xf numFmtId="0" fontId="4" fillId="0" borderId="1" xfId="0" applyFont="1" applyBorder="1" applyAlignment="1">
      <alignment horizontal="justify" vertical="justify" wrapText="1"/>
    </xf>
    <xf numFmtId="9" fontId="9" fillId="0" borderId="1" xfId="2" applyFont="1" applyBorder="1" applyAlignment="1">
      <alignment horizontal="justify" vertical="justify" wrapText="1"/>
    </xf>
    <xf numFmtId="0" fontId="9" fillId="0" borderId="1" xfId="0" applyFont="1" applyBorder="1" applyAlignment="1">
      <alignment horizontal="justify" vertical="justify"/>
    </xf>
    <xf numFmtId="0" fontId="9" fillId="0" borderId="0" xfId="0" applyFont="1" applyAlignment="1">
      <alignment horizontal="justify" vertical="justify"/>
    </xf>
    <xf numFmtId="0" fontId="16" fillId="0" borderId="1" xfId="0" applyFont="1" applyBorder="1" applyAlignment="1">
      <alignment horizontal="center" vertical="center" wrapText="1"/>
    </xf>
    <xf numFmtId="0" fontId="13"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 fillId="0" borderId="1" xfId="0" applyFont="1" applyBorder="1"/>
    <xf numFmtId="0" fontId="16" fillId="0" borderId="1" xfId="0" applyFont="1" applyBorder="1" applyAlignment="1">
      <alignment vertical="center" wrapText="1"/>
    </xf>
    <xf numFmtId="0" fontId="16" fillId="0" borderId="1" xfId="0" applyFont="1" applyBorder="1" applyAlignment="1">
      <alignment horizontal="center"/>
    </xf>
    <xf numFmtId="0" fontId="16" fillId="0" borderId="1" xfId="0" applyFont="1" applyBorder="1"/>
    <xf numFmtId="0" fontId="16" fillId="0" borderId="1" xfId="0" applyFont="1" applyBorder="1" applyAlignment="1">
      <alignment horizontal="justify" vertical="justify" wrapText="1"/>
    </xf>
    <xf numFmtId="0" fontId="16" fillId="0" borderId="1" xfId="0" applyFont="1" applyBorder="1" applyAlignment="1">
      <alignment horizontal="center" wrapText="1"/>
    </xf>
    <xf numFmtId="0" fontId="13" fillId="3" borderId="1" xfId="0" applyFont="1" applyFill="1" applyBorder="1" applyAlignment="1">
      <alignment horizontal="left" vertical="center" wrapText="1"/>
    </xf>
    <xf numFmtId="0" fontId="21" fillId="0" borderId="0" xfId="0" applyFont="1" applyAlignment="1">
      <alignment horizontal="left" vertical="center" wrapText="1"/>
    </xf>
    <xf numFmtId="0" fontId="13" fillId="0" borderId="1" xfId="0" applyFont="1" applyBorder="1" applyAlignment="1">
      <alignment horizontal="center" vertical="center"/>
    </xf>
    <xf numFmtId="0" fontId="22" fillId="3" borderId="4" xfId="0" applyFont="1" applyFill="1" applyBorder="1" applyAlignment="1">
      <alignment horizontal="center" vertical="center" wrapText="1"/>
    </xf>
    <xf numFmtId="0" fontId="22" fillId="3" borderId="1" xfId="0" applyFont="1" applyFill="1" applyBorder="1" applyAlignment="1">
      <alignment horizontal="center" vertical="center" wrapText="1"/>
    </xf>
    <xf numFmtId="0" fontId="22" fillId="3" borderId="1" xfId="0" applyFont="1" applyFill="1" applyBorder="1" applyAlignment="1">
      <alignment horizontal="center" vertical="center"/>
    </xf>
    <xf numFmtId="0" fontId="16" fillId="0" borderId="0" xfId="0" applyFont="1"/>
    <xf numFmtId="0" fontId="13" fillId="6" borderId="1" xfId="0" applyFont="1" applyFill="1" applyBorder="1" applyAlignment="1">
      <alignment horizontal="justify" vertical="center" wrapText="1"/>
    </xf>
    <xf numFmtId="0" fontId="24" fillId="6" borderId="2" xfId="0" applyFont="1" applyFill="1" applyBorder="1" applyAlignment="1">
      <alignment horizontal="justify" vertical="center" wrapText="1"/>
    </xf>
    <xf numFmtId="9" fontId="13" fillId="6" borderId="2" xfId="0" applyNumberFormat="1" applyFont="1" applyFill="1" applyBorder="1" applyAlignment="1">
      <alignment horizontal="center" vertical="center" wrapText="1"/>
    </xf>
    <xf numFmtId="0" fontId="13" fillId="6" borderId="1" xfId="0" applyFont="1" applyFill="1" applyBorder="1" applyAlignment="1">
      <alignment vertical="center"/>
    </xf>
    <xf numFmtId="0" fontId="13" fillId="6" borderId="1" xfId="0" applyFont="1" applyFill="1" applyBorder="1" applyAlignment="1">
      <alignment vertical="center" wrapText="1"/>
    </xf>
    <xf numFmtId="0" fontId="13" fillId="6" borderId="1" xfId="0" applyFont="1" applyFill="1" applyBorder="1" applyAlignment="1">
      <alignment horizontal="center" vertical="center" wrapText="1"/>
    </xf>
    <xf numFmtId="0" fontId="13" fillId="6" borderId="1" xfId="0" applyFont="1" applyFill="1" applyBorder="1" applyAlignment="1">
      <alignment horizontal="center" vertical="center"/>
    </xf>
    <xf numFmtId="9" fontId="13" fillId="3" borderId="2" xfId="0" applyNumberFormat="1" applyFont="1" applyFill="1" applyBorder="1" applyAlignment="1">
      <alignment horizontal="center" vertical="center" wrapText="1"/>
    </xf>
    <xf numFmtId="0" fontId="13" fillId="3" borderId="1" xfId="0" applyFont="1" applyFill="1" applyBorder="1" applyAlignment="1">
      <alignment vertical="center"/>
    </xf>
    <xf numFmtId="0" fontId="13" fillId="3" borderId="1" xfId="0" applyFont="1" applyFill="1" applyBorder="1" applyAlignment="1">
      <alignment vertical="center" wrapText="1"/>
    </xf>
    <xf numFmtId="0" fontId="13" fillId="3" borderId="1" xfId="0" applyFont="1" applyFill="1" applyBorder="1" applyAlignment="1">
      <alignment horizontal="justify" vertical="center" wrapText="1"/>
    </xf>
    <xf numFmtId="0" fontId="19" fillId="3" borderId="2" xfId="0" applyFont="1" applyFill="1" applyBorder="1" applyAlignment="1">
      <alignment horizontal="justify" vertical="center" wrapText="1"/>
    </xf>
    <xf numFmtId="0" fontId="16" fillId="0" borderId="1" xfId="0" applyFont="1" applyBorder="1" applyAlignment="1">
      <alignment horizontal="justify" wrapText="1"/>
    </xf>
    <xf numFmtId="0" fontId="1" fillId="0" borderId="1" xfId="0" applyFont="1" applyBorder="1" applyAlignment="1">
      <alignment vertical="center"/>
    </xf>
    <xf numFmtId="0" fontId="16" fillId="6" borderId="1" xfId="0" applyFont="1" applyFill="1" applyBorder="1" applyAlignment="1">
      <alignment horizontal="center" vertical="center" wrapText="1"/>
    </xf>
    <xf numFmtId="0" fontId="13" fillId="6" borderId="1" xfId="0" applyFont="1" applyFill="1" applyBorder="1" applyAlignment="1">
      <alignment horizontal="left" vertical="center" wrapText="1"/>
    </xf>
    <xf numFmtId="0" fontId="16" fillId="6" borderId="1" xfId="0" applyFont="1" applyFill="1" applyBorder="1" applyAlignment="1">
      <alignment vertical="center" wrapText="1"/>
    </xf>
    <xf numFmtId="9" fontId="16" fillId="6" borderId="1" xfId="0" applyNumberFormat="1" applyFont="1" applyFill="1" applyBorder="1" applyAlignment="1">
      <alignment horizontal="center" vertical="center"/>
    </xf>
    <xf numFmtId="0" fontId="16" fillId="6" borderId="1" xfId="0" applyFont="1" applyFill="1" applyBorder="1"/>
    <xf numFmtId="0" fontId="13" fillId="0" borderId="0" xfId="0" applyFont="1" applyAlignment="1">
      <alignment horizontal="center" vertical="center" wrapText="1"/>
    </xf>
    <xf numFmtId="0" fontId="10" fillId="3" borderId="1" xfId="0" applyFont="1" applyFill="1" applyBorder="1" applyAlignment="1">
      <alignment horizontal="justify" vertical="center" wrapText="1"/>
    </xf>
    <xf numFmtId="9" fontId="9" fillId="3" borderId="1" xfId="2" applyFont="1" applyFill="1" applyBorder="1" applyAlignment="1">
      <alignment horizontal="center" vertical="center" wrapText="1"/>
    </xf>
    <xf numFmtId="0" fontId="9" fillId="3" borderId="1" xfId="0" applyFont="1" applyFill="1" applyBorder="1" applyAlignment="1">
      <alignment vertical="center" wrapText="1"/>
    </xf>
    <xf numFmtId="0" fontId="9" fillId="3" borderId="1" xfId="0" applyFont="1" applyFill="1" applyBorder="1" applyAlignment="1">
      <alignment horizontal="justify" vertical="center" wrapText="1"/>
    </xf>
    <xf numFmtId="9" fontId="9" fillId="3" borderId="1" xfId="0" applyNumberFormat="1" applyFont="1" applyFill="1" applyBorder="1" applyAlignment="1">
      <alignment horizontal="center" vertical="center" wrapText="1"/>
    </xf>
    <xf numFmtId="0" fontId="25" fillId="0" borderId="1" xfId="1" applyFont="1" applyBorder="1" applyAlignment="1" applyProtection="1">
      <alignment horizontal="left" vertical="center" wrapText="1"/>
    </xf>
    <xf numFmtId="0" fontId="1" fillId="3"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1" fillId="3" borderId="1" xfId="1" applyFont="1" applyFill="1" applyBorder="1" applyAlignment="1" applyProtection="1">
      <alignment horizontal="center" vertical="center" wrapText="1"/>
    </xf>
    <xf numFmtId="9" fontId="1" fillId="3" borderId="1" xfId="2" applyFont="1" applyFill="1" applyBorder="1" applyAlignment="1">
      <alignment horizontal="center" vertical="center"/>
    </xf>
    <xf numFmtId="0" fontId="1" fillId="3" borderId="1" xfId="1" applyFont="1" applyFill="1" applyBorder="1" applyAlignment="1" applyProtection="1">
      <alignment horizontal="center" vertical="center"/>
    </xf>
    <xf numFmtId="0" fontId="2" fillId="0" borderId="0" xfId="1" quotePrefix="1" applyFill="1" applyAlignment="1" applyProtection="1">
      <alignment wrapText="1"/>
    </xf>
    <xf numFmtId="0" fontId="2" fillId="0" borderId="1" xfId="1" quotePrefix="1" applyFill="1" applyBorder="1" applyAlignment="1" applyProtection="1">
      <alignment wrapText="1"/>
    </xf>
    <xf numFmtId="0" fontId="2" fillId="0" borderId="1" xfId="1" quotePrefix="1" applyFill="1" applyBorder="1" applyAlignment="1" applyProtection="1">
      <alignment horizontal="left" vertical="center" wrapText="1"/>
    </xf>
    <xf numFmtId="0" fontId="26" fillId="0" borderId="1" xfId="1" quotePrefix="1" applyFont="1" applyFill="1" applyBorder="1" applyAlignment="1" applyProtection="1">
      <alignment horizontal="justify" vertical="center" wrapText="1"/>
    </xf>
    <xf numFmtId="0" fontId="2" fillId="0" borderId="0" xfId="1" quotePrefix="1" applyFill="1" applyAlignment="1" applyProtection="1">
      <alignment horizontal="left" vertical="center" wrapText="1"/>
    </xf>
    <xf numFmtId="0" fontId="9" fillId="7" borderId="1" xfId="0" applyFont="1" applyFill="1" applyBorder="1" applyAlignment="1">
      <alignment vertical="center" wrapText="1"/>
    </xf>
    <xf numFmtId="14" fontId="1" fillId="0" borderId="1" xfId="0" applyNumberFormat="1" applyFont="1" applyBorder="1" applyAlignment="1">
      <alignment vertical="center"/>
    </xf>
    <xf numFmtId="0" fontId="1" fillId="0" borderId="1" xfId="1" applyFont="1" applyBorder="1" applyAlignment="1" applyProtection="1">
      <alignment horizontal="center" vertical="center" wrapText="1"/>
    </xf>
    <xf numFmtId="14" fontId="1" fillId="0" borderId="1" xfId="2" applyNumberFormat="1" applyFont="1" applyBorder="1" applyAlignment="1">
      <alignment horizontal="center" vertical="center"/>
    </xf>
    <xf numFmtId="9" fontId="1" fillId="0" borderId="1" xfId="2" applyFont="1" applyBorder="1" applyAlignment="1">
      <alignment horizontal="center" vertical="center"/>
    </xf>
    <xf numFmtId="0" fontId="1" fillId="0" borderId="1" xfId="1" applyFont="1" applyFill="1" applyBorder="1" applyAlignment="1" applyProtection="1">
      <alignment horizontal="center" vertical="center" wrapText="1"/>
    </xf>
    <xf numFmtId="9" fontId="1" fillId="0" borderId="1" xfId="2" applyFont="1" applyFill="1" applyBorder="1" applyAlignment="1">
      <alignment horizontal="center" vertical="center"/>
    </xf>
    <xf numFmtId="9" fontId="1" fillId="3" borderId="1" xfId="0" applyNumberFormat="1" applyFont="1" applyFill="1" applyBorder="1" applyAlignment="1">
      <alignment horizontal="center" vertical="center"/>
    </xf>
    <xf numFmtId="9" fontId="1" fillId="3" borderId="1" xfId="0" applyNumberFormat="1" applyFont="1" applyFill="1" applyBorder="1" applyAlignment="1">
      <alignment horizontal="center" vertical="center" wrapText="1"/>
    </xf>
    <xf numFmtId="14" fontId="1" fillId="0" borderId="1" xfId="1" applyNumberFormat="1" applyFont="1" applyBorder="1" applyAlignment="1" applyProtection="1">
      <alignment horizontal="center" vertical="center" wrapText="1"/>
    </xf>
    <xf numFmtId="9" fontId="1" fillId="0" borderId="1" xfId="0" applyNumberFormat="1" applyFont="1" applyBorder="1" applyAlignment="1">
      <alignment horizontal="center" vertical="center" wrapText="1"/>
    </xf>
    <xf numFmtId="14" fontId="1" fillId="0" borderId="1" xfId="0" quotePrefix="1" applyNumberFormat="1" applyFont="1" applyBorder="1" applyAlignment="1">
      <alignment horizontal="center" vertical="center" wrapText="1"/>
    </xf>
    <xf numFmtId="9" fontId="1" fillId="0" borderId="1" xfId="0" applyNumberFormat="1" applyFont="1" applyBorder="1" applyAlignment="1">
      <alignment horizontal="center" vertical="center"/>
    </xf>
    <xf numFmtId="0" fontId="7" fillId="0" borderId="9" xfId="0" applyFont="1" applyBorder="1" applyAlignment="1">
      <alignment horizontal="center" vertical="center"/>
    </xf>
    <xf numFmtId="0" fontId="22" fillId="0" borderId="1" xfId="0" applyFont="1" applyBorder="1" applyAlignment="1">
      <alignment horizontal="center" vertical="center"/>
    </xf>
    <xf numFmtId="14" fontId="0" fillId="0" borderId="2" xfId="0" applyNumberFormat="1" applyBorder="1" applyAlignment="1">
      <alignment horizontal="center" vertical="center"/>
    </xf>
    <xf numFmtId="14" fontId="0" fillId="0" borderId="8" xfId="0" applyNumberFormat="1" applyBorder="1" applyAlignment="1">
      <alignment horizontal="center" vertical="center"/>
    </xf>
    <xf numFmtId="14" fontId="0" fillId="0" borderId="4" xfId="0" applyNumberFormat="1" applyBorder="1" applyAlignment="1">
      <alignment horizontal="center" vertical="center"/>
    </xf>
    <xf numFmtId="0" fontId="0" fillId="0" borderId="2"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0" fontId="10" fillId="4" borderId="10" xfId="0" applyFont="1" applyFill="1" applyBorder="1" applyAlignment="1">
      <alignment horizontal="center" vertical="center"/>
    </xf>
    <xf numFmtId="0" fontId="10" fillId="4" borderId="11" xfId="0" applyFont="1" applyFill="1" applyBorder="1" applyAlignment="1">
      <alignment horizontal="center" vertical="center"/>
    </xf>
    <xf numFmtId="0" fontId="10" fillId="4" borderId="9" xfId="0" applyFont="1" applyFill="1" applyBorder="1" applyAlignment="1">
      <alignment horizontal="center" vertical="center"/>
    </xf>
    <xf numFmtId="0" fontId="10" fillId="4" borderId="13" xfId="0" applyFont="1" applyFill="1" applyBorder="1" applyAlignment="1">
      <alignment horizontal="center" vertical="center"/>
    </xf>
    <xf numFmtId="0" fontId="9" fillId="0" borderId="6" xfId="0" applyFont="1" applyBorder="1" applyAlignment="1">
      <alignment horizontal="center" vertical="center" wrapText="1"/>
    </xf>
    <xf numFmtId="0" fontId="10" fillId="4" borderId="5"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0" fillId="4" borderId="13" xfId="0" applyFont="1" applyFill="1" applyBorder="1" applyAlignment="1">
      <alignment horizontal="center" vertical="center" wrapText="1"/>
    </xf>
    <xf numFmtId="0" fontId="10" fillId="4" borderId="0" xfId="0" applyFont="1" applyFill="1" applyAlignment="1">
      <alignment horizontal="center" vertical="center" wrapText="1"/>
    </xf>
    <xf numFmtId="0" fontId="10" fillId="4" borderId="12" xfId="0" applyFont="1" applyFill="1" applyBorder="1" applyAlignment="1">
      <alignment horizontal="center" vertical="center" wrapText="1"/>
    </xf>
  </cellXfs>
  <cellStyles count="4">
    <cellStyle name="Hipervínculo" xfId="1" builtinId="8"/>
    <cellStyle name="Millares [0]" xfId="3" builtinId="6"/>
    <cellStyle name="Normal" xfId="0" builtinId="0"/>
    <cellStyle name="Porcentaje"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22861</xdr:colOff>
      <xdr:row>0</xdr:row>
      <xdr:rowOff>60961</xdr:rowOff>
    </xdr:from>
    <xdr:to>
      <xdr:col>3</xdr:col>
      <xdr:colOff>274321</xdr:colOff>
      <xdr:row>0</xdr:row>
      <xdr:rowOff>586203</xdr:rowOff>
    </xdr:to>
    <xdr:pic>
      <xdr:nvPicPr>
        <xdr:cNvPr id="78079" name="Picture 10">
          <a:extLst>
            <a:ext uri="{FF2B5EF4-FFF2-40B4-BE49-F238E27FC236}">
              <a16:creationId xmlns:a16="http://schemas.microsoft.com/office/drawing/2014/main" id="{DFAE5B54-0427-4CF1-B1F1-ADB048685C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1" y="60961"/>
          <a:ext cx="3375660" cy="5252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Guillermo Tejo" id="{0B4D95DF-B261-4069-886B-3B29F99DC8C9}" userId="Guillermo Tejo" providerId="None"/>
  <person displayName="Nelson González" id="{58337C3D-36D6-4126-96D2-B019B64CF6EE}" userId="5b05ee27166a57f9" providerId="Windows Live"/>
  <person displayName="Guillermo Tejo" id="{99262774-AC95-45BE-A66C-9B5641E9F596}" userId="S::guillermo.tejo@dss2018.onmicrosoft.com::b6caccc4-5670-4cca-a202-0dca9b64b477"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7" dT="2022-03-24T18:49:06.06" personId="{99262774-AC95-45BE-A66C-9B5641E9F596}" id="{6613A2EF-0A23-4320-BA63-766C7676ED9C}">
    <text>Se incorpora</text>
  </threadedComment>
  <threadedComment ref="A40" dT="2022-03-28T13:19:58.32" personId="{99262774-AC95-45BE-A66C-9B5641E9F596}" id="{86ACAF1B-E18E-42CC-8E4D-4E05AD2AC0C3}">
    <text>Revisar inclusión de Reglamento</text>
  </threadedComment>
  <threadedComment ref="A40" dT="2022-03-29T13:25:17.59" personId="{99262774-AC95-45BE-A66C-9B5641E9F596}" id="{BA5EC418-214F-46C8-B37B-7D7274818D75}" parentId="{86ACAF1B-E18E-42CC-8E4D-4E05AD2AC0C3}">
    <text>se incluyó</text>
  </threadedComment>
</ThreadedComments>
</file>

<file path=xl/threadedComments/threadedComment2.xml><?xml version="1.0" encoding="utf-8"?>
<ThreadedComments xmlns="http://schemas.microsoft.com/office/spreadsheetml/2018/threadedcomments" xmlns:x="http://schemas.openxmlformats.org/spreadsheetml/2006/main">
  <threadedComment ref="A9" dT="2021-04-20T12:36:44.37" personId="{0B4D95DF-B261-4069-886B-3B29F99DC8C9}" id="{68D0200A-00CD-407B-84B8-7146335C1FED}">
    <text>No coincide con el art 9 de la norma, corresponde al 14</text>
  </threadedComment>
  <threadedComment ref="A9" dT="2024-01-13T17:08:00.43" personId="{58337C3D-36D6-4126-96D2-B019B64CF6EE}" id="{BA928780-FDFF-4DEB-B90B-3F0DD77B9050}" parentId="{68D0200A-00CD-407B-84B8-7146335C1FED}">
    <text>Artículo 14, inciso final</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D1DAE0F-E9C0-468B-BC32-8AE7D1223C51}">
  <we:reference id="WA200009404" version="1.0.0.8" store="Omex" storeType="OMEX"/>
  <we:alternateReferences>
    <we:reference id="WA200009404" version="1.0.0.8" store="WA200009404" storeType="OMEX"/>
  </we:alternateReferences>
  <we:properties>
    <we:property name="claude.fileId" value="&quot;0893105f-6bff-4c41-8f1d-a917536bde2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3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7.bin"/><Relationship Id="rId4" Type="http://schemas.microsoft.com/office/2017/10/relationships/threadedComment" Target="../threadedComments/threadedComment2.xml"/></Relationships>
</file>

<file path=xl/worksheets/_rels/sheet3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8.bin"/></Relationships>
</file>

<file path=xl/worksheets/_rels/sheet37.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8"/>
  <sheetViews>
    <sheetView showGridLines="0" workbookViewId="0">
      <selection activeCell="A2" sqref="A2:A4"/>
    </sheetView>
  </sheetViews>
  <sheetFormatPr baseColWidth="10" defaultColWidth="11.44140625" defaultRowHeight="13.2" x14ac:dyDescent="0.25"/>
  <cols>
    <col min="1" max="2" width="11.44140625" style="57"/>
    <col min="3" max="3" width="115.33203125" style="110" customWidth="1"/>
    <col min="4" max="16384" width="11.44140625" style="57"/>
  </cols>
  <sheetData>
    <row r="1" spans="1:3" x14ac:dyDescent="0.25">
      <c r="A1" s="21" t="s">
        <v>445</v>
      </c>
      <c r="B1" s="21" t="s">
        <v>446</v>
      </c>
      <c r="C1" s="20" t="s">
        <v>447</v>
      </c>
    </row>
    <row r="2" spans="1:3" ht="25.5" customHeight="1" x14ac:dyDescent="0.25">
      <c r="A2" s="236">
        <v>7</v>
      </c>
      <c r="B2" s="233">
        <v>43242</v>
      </c>
      <c r="C2" s="70" t="s">
        <v>448</v>
      </c>
    </row>
    <row r="3" spans="1:3" ht="228" customHeight="1" x14ac:dyDescent="0.25">
      <c r="A3" s="237"/>
      <c r="B3" s="234"/>
      <c r="C3" s="70" t="s">
        <v>492</v>
      </c>
    </row>
    <row r="4" spans="1:3" ht="19.5" customHeight="1" x14ac:dyDescent="0.25">
      <c r="A4" s="238"/>
      <c r="B4" s="235"/>
      <c r="C4" s="70" t="s">
        <v>449</v>
      </c>
    </row>
    <row r="5" spans="1:3" ht="26.4" x14ac:dyDescent="0.25">
      <c r="A5" s="60">
        <v>8</v>
      </c>
      <c r="B5" s="116">
        <v>43352</v>
      </c>
      <c r="C5" s="111" t="s">
        <v>557</v>
      </c>
    </row>
    <row r="6" spans="1:3" ht="39.6" x14ac:dyDescent="0.25">
      <c r="A6" s="60">
        <v>9</v>
      </c>
      <c r="B6" s="116">
        <v>43453</v>
      </c>
      <c r="C6" s="111" t="s">
        <v>582</v>
      </c>
    </row>
    <row r="7" spans="1:3" x14ac:dyDescent="0.25">
      <c r="A7" s="60">
        <v>10</v>
      </c>
      <c r="B7" s="116">
        <v>43472</v>
      </c>
      <c r="C7" s="111" t="s">
        <v>583</v>
      </c>
    </row>
    <row r="8" spans="1:3" x14ac:dyDescent="0.25">
      <c r="A8" s="60">
        <v>11</v>
      </c>
      <c r="B8" s="116">
        <v>43572</v>
      </c>
      <c r="C8" s="111" t="s">
        <v>587</v>
      </c>
    </row>
    <row r="9" spans="1:3" x14ac:dyDescent="0.25">
      <c r="A9" s="60">
        <v>12</v>
      </c>
      <c r="B9" s="116">
        <v>43598</v>
      </c>
      <c r="C9" s="111" t="s">
        <v>597</v>
      </c>
    </row>
    <row r="10" spans="1:3" x14ac:dyDescent="0.25">
      <c r="A10" s="60">
        <v>13</v>
      </c>
      <c r="B10" s="116">
        <v>43626</v>
      </c>
      <c r="C10" s="111" t="s">
        <v>583</v>
      </c>
    </row>
    <row r="11" spans="1:3" x14ac:dyDescent="0.25">
      <c r="A11" s="60">
        <v>14</v>
      </c>
      <c r="B11" s="116">
        <v>43671</v>
      </c>
      <c r="C11" s="111" t="s">
        <v>583</v>
      </c>
    </row>
    <row r="12" spans="1:3" x14ac:dyDescent="0.25">
      <c r="A12" s="60">
        <v>15</v>
      </c>
      <c r="B12" s="116">
        <v>43705</v>
      </c>
      <c r="C12" s="111" t="s">
        <v>583</v>
      </c>
    </row>
    <row r="13" spans="1:3" ht="26.4" x14ac:dyDescent="0.25">
      <c r="A13" s="60">
        <v>16</v>
      </c>
      <c r="B13" s="116">
        <v>43720</v>
      </c>
      <c r="C13" s="111" t="s">
        <v>601</v>
      </c>
    </row>
    <row r="14" spans="1:3" x14ac:dyDescent="0.25">
      <c r="A14" s="60">
        <v>17</v>
      </c>
      <c r="B14" s="116">
        <v>43759</v>
      </c>
      <c r="C14" s="111" t="s">
        <v>583</v>
      </c>
    </row>
    <row r="15" spans="1:3" x14ac:dyDescent="0.25">
      <c r="A15" s="60">
        <v>18</v>
      </c>
      <c r="B15" s="116">
        <v>43794</v>
      </c>
      <c r="C15" s="111" t="s">
        <v>583</v>
      </c>
    </row>
    <row r="16" spans="1:3" x14ac:dyDescent="0.25">
      <c r="A16" s="60">
        <v>19</v>
      </c>
      <c r="B16" s="116">
        <v>43826</v>
      </c>
      <c r="C16" s="111" t="s">
        <v>583</v>
      </c>
    </row>
    <row r="17" spans="1:3" x14ac:dyDescent="0.25">
      <c r="A17" s="60">
        <v>20</v>
      </c>
      <c r="B17" s="116">
        <v>43860</v>
      </c>
      <c r="C17" s="111" t="s">
        <v>583</v>
      </c>
    </row>
    <row r="18" spans="1:3" x14ac:dyDescent="0.25">
      <c r="A18" s="60">
        <v>21</v>
      </c>
      <c r="B18" s="116">
        <v>43889</v>
      </c>
      <c r="C18" s="111" t="s">
        <v>583</v>
      </c>
    </row>
    <row r="19" spans="1:3" x14ac:dyDescent="0.25">
      <c r="A19" s="60">
        <v>22</v>
      </c>
      <c r="B19" s="116">
        <v>43900</v>
      </c>
      <c r="C19" s="111" t="s">
        <v>608</v>
      </c>
    </row>
    <row r="20" spans="1:3" ht="26.4" x14ac:dyDescent="0.25">
      <c r="A20" s="60">
        <v>23</v>
      </c>
      <c r="B20" s="116">
        <v>43936</v>
      </c>
      <c r="C20" s="111" t="s">
        <v>609</v>
      </c>
    </row>
    <row r="21" spans="1:3" x14ac:dyDescent="0.25">
      <c r="A21" s="60">
        <v>24</v>
      </c>
      <c r="B21" s="116">
        <v>43973</v>
      </c>
      <c r="C21" s="127" t="s">
        <v>615</v>
      </c>
    </row>
    <row r="22" spans="1:3" ht="26.4" x14ac:dyDescent="0.25">
      <c r="A22" s="60">
        <v>25</v>
      </c>
      <c r="B22" s="116">
        <v>43994</v>
      </c>
      <c r="C22" s="127" t="s">
        <v>624</v>
      </c>
    </row>
    <row r="23" spans="1:3" x14ac:dyDescent="0.25">
      <c r="A23" s="60">
        <v>26</v>
      </c>
      <c r="B23" s="116">
        <v>44034</v>
      </c>
      <c r="C23" s="111" t="s">
        <v>583</v>
      </c>
    </row>
    <row r="24" spans="1:3" x14ac:dyDescent="0.25">
      <c r="A24" s="60">
        <v>27</v>
      </c>
      <c r="B24" s="116">
        <v>44070</v>
      </c>
      <c r="C24" s="111" t="s">
        <v>583</v>
      </c>
    </row>
    <row r="25" spans="1:3" x14ac:dyDescent="0.25">
      <c r="A25" s="60">
        <v>28</v>
      </c>
      <c r="B25" s="116">
        <v>44127</v>
      </c>
      <c r="C25" s="111" t="s">
        <v>583</v>
      </c>
    </row>
    <row r="26" spans="1:3" x14ac:dyDescent="0.25">
      <c r="A26" s="60">
        <v>29</v>
      </c>
      <c r="B26" s="116">
        <v>44159</v>
      </c>
      <c r="C26" s="111" t="s">
        <v>583</v>
      </c>
    </row>
    <row r="27" spans="1:3" x14ac:dyDescent="0.25">
      <c r="A27" s="60">
        <v>30</v>
      </c>
      <c r="B27" s="116">
        <v>44558</v>
      </c>
      <c r="C27" s="111" t="s">
        <v>583</v>
      </c>
    </row>
    <row r="28" spans="1:3" ht="26.4" x14ac:dyDescent="0.25">
      <c r="A28" s="60">
        <v>31</v>
      </c>
      <c r="B28" s="116">
        <v>44263</v>
      </c>
      <c r="C28" s="111" t="s">
        <v>658</v>
      </c>
    </row>
    <row r="29" spans="1:3" x14ac:dyDescent="0.25">
      <c r="A29" s="60">
        <v>32</v>
      </c>
      <c r="B29" s="116">
        <v>44496</v>
      </c>
      <c r="C29" s="111" t="s">
        <v>583</v>
      </c>
    </row>
    <row r="30" spans="1:3" ht="26.4" x14ac:dyDescent="0.25">
      <c r="A30" s="60">
        <v>33</v>
      </c>
      <c r="B30" s="116">
        <v>44651</v>
      </c>
      <c r="C30" s="127" t="s">
        <v>675</v>
      </c>
    </row>
    <row r="31" spans="1:3" x14ac:dyDescent="0.25">
      <c r="A31" s="60">
        <v>34</v>
      </c>
      <c r="B31" s="116">
        <v>44832</v>
      </c>
      <c r="C31" s="111" t="s">
        <v>583</v>
      </c>
    </row>
    <row r="32" spans="1:3" ht="52.8" x14ac:dyDescent="0.25">
      <c r="A32" s="60">
        <v>35</v>
      </c>
      <c r="B32" s="116">
        <v>45068</v>
      </c>
      <c r="C32" s="111" t="s">
        <v>683</v>
      </c>
    </row>
    <row r="33" spans="1:3" ht="52.8" x14ac:dyDescent="0.25">
      <c r="A33" s="60">
        <v>36</v>
      </c>
      <c r="B33" s="116">
        <v>45331</v>
      </c>
      <c r="C33" s="111" t="s">
        <v>900</v>
      </c>
    </row>
    <row r="34" spans="1:3" ht="52.8" x14ac:dyDescent="0.25">
      <c r="A34" s="60">
        <v>37</v>
      </c>
      <c r="B34" s="116">
        <v>45434</v>
      </c>
      <c r="C34" s="111" t="s">
        <v>917</v>
      </c>
    </row>
    <row r="35" spans="1:3" x14ac:dyDescent="0.25">
      <c r="A35" s="60">
        <v>38</v>
      </c>
      <c r="B35" s="116">
        <v>45512</v>
      </c>
      <c r="C35" s="111" t="s">
        <v>936</v>
      </c>
    </row>
    <row r="36" spans="1:3" x14ac:dyDescent="0.25">
      <c r="A36" s="60">
        <v>39</v>
      </c>
      <c r="B36" s="116">
        <v>45769</v>
      </c>
      <c r="C36" s="111" t="s">
        <v>937</v>
      </c>
    </row>
    <row r="37" spans="1:3" ht="79.2" x14ac:dyDescent="0.25">
      <c r="A37" s="195">
        <v>40</v>
      </c>
      <c r="B37" s="219">
        <v>45933</v>
      </c>
      <c r="C37" s="127" t="s">
        <v>941</v>
      </c>
    </row>
    <row r="38" spans="1:3" ht="26.4" x14ac:dyDescent="0.25">
      <c r="A38" s="60">
        <v>41</v>
      </c>
      <c r="B38" s="116">
        <v>45939</v>
      </c>
      <c r="C38" s="127" t="s">
        <v>946</v>
      </c>
    </row>
  </sheetData>
  <mergeCells count="2">
    <mergeCell ref="B2:B4"/>
    <mergeCell ref="A2:A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88"/>
  <sheetViews>
    <sheetView showGridLines="0" zoomScale="85" zoomScaleNormal="85" zoomScaleSheetLayoutView="96" workbookViewId="0">
      <selection activeCell="F3" sqref="F3"/>
    </sheetView>
  </sheetViews>
  <sheetFormatPr baseColWidth="10" defaultColWidth="11.44140625" defaultRowHeight="13.2" x14ac:dyDescent="0.25"/>
  <cols>
    <col min="1" max="1" width="6.6640625" style="23" customWidth="1"/>
    <col min="2" max="2" width="13" style="95" customWidth="1"/>
    <col min="3" max="3" width="25.88671875" style="95" customWidth="1"/>
    <col min="4" max="4" width="13" style="95" customWidth="1"/>
    <col min="5" max="5" width="58.33203125" style="95" customWidth="1"/>
    <col min="6" max="6" width="19.44140625" style="95" customWidth="1"/>
    <col min="7" max="7" width="17.33203125" style="24" customWidth="1"/>
    <col min="8" max="8" width="16.88671875" style="23" customWidth="1"/>
    <col min="9" max="9" width="12.109375" style="23" customWidth="1"/>
    <col min="10" max="10" width="16.88671875" style="23" customWidth="1"/>
    <col min="11" max="11" width="17.44140625" style="23" bestFit="1" customWidth="1"/>
    <col min="12" max="12" width="23.5546875" style="25" bestFit="1" customWidth="1"/>
    <col min="13" max="13" width="11.44140625" style="25"/>
    <col min="14" max="14" width="23.5546875" style="25" bestFit="1" customWidth="1"/>
    <col min="15" max="16384" width="11.44140625" style="25"/>
  </cols>
  <sheetData>
    <row r="1" spans="1:29" ht="58.5" customHeight="1" x14ac:dyDescent="0.25">
      <c r="A1" s="231" t="s">
        <v>366</v>
      </c>
      <c r="B1" s="231"/>
      <c r="C1" s="231"/>
      <c r="D1" s="231"/>
      <c r="E1" s="231"/>
      <c r="F1" s="231"/>
      <c r="G1" s="231"/>
      <c r="H1" s="231"/>
      <c r="I1" s="231"/>
      <c r="J1" s="231"/>
      <c r="K1" s="231"/>
      <c r="L1" s="232" t="s">
        <v>708</v>
      </c>
      <c r="M1" s="232"/>
      <c r="N1" s="232"/>
    </row>
    <row r="2" spans="1:29" s="27" customFormat="1" ht="39.6" x14ac:dyDescent="0.25">
      <c r="A2" s="21" t="s">
        <v>3</v>
      </c>
      <c r="B2" s="28" t="s">
        <v>471</v>
      </c>
      <c r="C2" s="28" t="s">
        <v>679</v>
      </c>
      <c r="D2" s="28" t="s">
        <v>685</v>
      </c>
      <c r="E2" s="20" t="s">
        <v>470</v>
      </c>
      <c r="F2" s="20" t="s">
        <v>322</v>
      </c>
      <c r="G2" s="20" t="s">
        <v>20</v>
      </c>
      <c r="H2" s="20" t="s">
        <v>21</v>
      </c>
      <c r="I2" s="28" t="s">
        <v>22</v>
      </c>
      <c r="J2" s="28" t="s">
        <v>23</v>
      </c>
      <c r="K2" s="28" t="s">
        <v>570</v>
      </c>
      <c r="L2" s="178" t="s">
        <v>697</v>
      </c>
      <c r="M2" s="179" t="s">
        <v>698</v>
      </c>
      <c r="N2" s="180" t="s">
        <v>699</v>
      </c>
    </row>
    <row r="3" spans="1:29" ht="75" customHeight="1" x14ac:dyDescent="0.25">
      <c r="A3" s="121">
        <v>1</v>
      </c>
      <c r="B3" s="123" t="s">
        <v>680</v>
      </c>
      <c r="C3" s="123" t="s">
        <v>681</v>
      </c>
      <c r="D3" s="145">
        <v>38617</v>
      </c>
      <c r="E3" s="112" t="str">
        <f>'DS 100'!B1</f>
        <v>DECRETO SUPREMO 100 / 2005, MINISTERIO SECRETARIA GENERAL DE LA PRESIDENCIA, FIJA EL TEXTO REFUNDIDO, COORDINADO Y SISTEMATIZADO DE LA CONSTITUCION POLITICA DE LA REPUBLICA DE CHILE</v>
      </c>
      <c r="F3" s="220" t="s">
        <v>323</v>
      </c>
      <c r="G3" s="221">
        <v>45512</v>
      </c>
      <c r="H3" s="222">
        <f>'DS 100'!B2</f>
        <v>1</v>
      </c>
      <c r="I3" s="212" t="s">
        <v>12</v>
      </c>
      <c r="J3" s="124" t="s">
        <v>37</v>
      </c>
      <c r="K3" s="124" t="s">
        <v>511</v>
      </c>
      <c r="L3" s="155" t="s">
        <v>712</v>
      </c>
      <c r="M3" s="155" t="s">
        <v>700</v>
      </c>
      <c r="N3" s="147" t="s">
        <v>839</v>
      </c>
      <c r="O3" s="27"/>
      <c r="P3" s="27"/>
      <c r="Q3" s="27"/>
      <c r="R3" s="27"/>
      <c r="S3" s="27"/>
      <c r="T3" s="27"/>
      <c r="U3" s="27"/>
      <c r="V3" s="27"/>
      <c r="W3" s="27"/>
      <c r="X3" s="27"/>
      <c r="Y3" s="27"/>
      <c r="Z3" s="27"/>
      <c r="AA3" s="27"/>
      <c r="AB3" s="27"/>
      <c r="AC3" s="27"/>
    </row>
    <row r="4" spans="1:29" ht="104.25" customHeight="1" x14ac:dyDescent="0.25">
      <c r="A4" s="121">
        <v>2</v>
      </c>
      <c r="B4" s="123" t="s">
        <v>682</v>
      </c>
      <c r="C4" s="123" t="s">
        <v>684</v>
      </c>
      <c r="D4" s="145">
        <v>24869</v>
      </c>
      <c r="E4" s="112" t="str">
        <f>'Ley 16,744'!B1</f>
        <v>Ley Nº 16.744 "Establece Normas sobre Accidentes del Trabajo y Enfermedades Profesionales"</v>
      </c>
      <c r="F4" s="220" t="s">
        <v>323</v>
      </c>
      <c r="G4" s="221">
        <v>45512</v>
      </c>
      <c r="H4" s="222">
        <f>'Ley 16,744'!B2</f>
        <v>1</v>
      </c>
      <c r="I4" s="212" t="s">
        <v>12</v>
      </c>
      <c r="J4" s="124" t="s">
        <v>37</v>
      </c>
      <c r="K4" s="124" t="s">
        <v>511</v>
      </c>
      <c r="L4" s="155" t="s">
        <v>701</v>
      </c>
      <c r="M4" s="147" t="s">
        <v>702</v>
      </c>
      <c r="N4" s="155" t="s">
        <v>709</v>
      </c>
      <c r="O4" s="27"/>
      <c r="P4" s="27"/>
      <c r="Q4" s="27"/>
      <c r="R4" s="27"/>
      <c r="S4" s="27"/>
      <c r="T4" s="27"/>
      <c r="U4" s="27"/>
      <c r="V4" s="27"/>
      <c r="W4" s="27"/>
      <c r="X4" s="27"/>
      <c r="Y4" s="27"/>
      <c r="Z4" s="27"/>
      <c r="AA4" s="27"/>
      <c r="AB4" s="27"/>
      <c r="AC4" s="27"/>
    </row>
    <row r="5" spans="1:29" ht="154.5" customHeight="1" x14ac:dyDescent="0.25">
      <c r="A5" s="121">
        <v>3</v>
      </c>
      <c r="B5" s="123" t="s">
        <v>659</v>
      </c>
      <c r="C5" s="123" t="s">
        <v>686</v>
      </c>
      <c r="D5" s="145">
        <v>38154</v>
      </c>
      <c r="E5" s="134" t="str">
        <f>'DS148'!B1</f>
        <v xml:space="preserve">DS 148 APRUEBA REGLAMENTO SANITARIO SOBRE MANEJO DE RESIDUOS PELIGROSOS </v>
      </c>
      <c r="F5" s="220" t="s">
        <v>353</v>
      </c>
      <c r="G5" s="221">
        <v>45512</v>
      </c>
      <c r="H5" s="222">
        <f>'DS148'!B2</f>
        <v>1</v>
      </c>
      <c r="I5" s="212" t="s">
        <v>285</v>
      </c>
      <c r="J5" s="124" t="s">
        <v>286</v>
      </c>
      <c r="K5" s="124" t="s">
        <v>511</v>
      </c>
      <c r="L5" s="147" t="s">
        <v>703</v>
      </c>
      <c r="M5" s="155" t="s">
        <v>705</v>
      </c>
      <c r="N5" s="147" t="s">
        <v>706</v>
      </c>
      <c r="O5" s="27"/>
      <c r="P5" s="27"/>
      <c r="Q5" s="27"/>
      <c r="R5" s="27"/>
      <c r="S5" s="27"/>
      <c r="T5" s="27"/>
      <c r="U5" s="27"/>
      <c r="V5" s="27"/>
      <c r="W5" s="27"/>
      <c r="X5" s="27"/>
      <c r="Y5" s="27"/>
      <c r="Z5" s="27"/>
      <c r="AA5" s="27"/>
      <c r="AB5" s="27"/>
      <c r="AC5" s="27"/>
    </row>
    <row r="6" spans="1:29" ht="39.6" x14ac:dyDescent="0.25">
      <c r="A6" s="121">
        <v>6</v>
      </c>
      <c r="B6" s="123" t="s">
        <v>660</v>
      </c>
      <c r="C6" s="123" t="s">
        <v>686</v>
      </c>
      <c r="D6" s="145">
        <v>36645</v>
      </c>
      <c r="E6" s="134" t="str">
        <f>'DS 594'!B1</f>
        <v>DS 594 "Reglamento sobre condiciones sanitarias y ambientales básicas en los lugares de trabajo"</v>
      </c>
      <c r="F6" s="220" t="s">
        <v>353</v>
      </c>
      <c r="G6" s="221">
        <v>45512</v>
      </c>
      <c r="H6" s="222">
        <f>'DS 594'!B2</f>
        <v>1</v>
      </c>
      <c r="I6" s="212" t="s">
        <v>285</v>
      </c>
      <c r="J6" s="124" t="s">
        <v>286</v>
      </c>
      <c r="K6" s="124" t="s">
        <v>511</v>
      </c>
      <c r="L6" s="155" t="s">
        <v>711</v>
      </c>
      <c r="M6" s="147" t="s">
        <v>707</v>
      </c>
      <c r="N6" s="147" t="s">
        <v>678</v>
      </c>
      <c r="O6" s="27"/>
      <c r="P6" s="27"/>
      <c r="Q6" s="27"/>
      <c r="R6" s="27"/>
      <c r="S6" s="27"/>
      <c r="T6" s="27"/>
      <c r="U6" s="27"/>
      <c r="V6" s="27"/>
      <c r="W6" s="27"/>
      <c r="X6" s="27"/>
      <c r="Y6" s="27"/>
      <c r="Z6" s="27"/>
      <c r="AA6" s="27"/>
      <c r="AB6" s="27"/>
      <c r="AC6" s="27"/>
    </row>
    <row r="7" spans="1:29" ht="92.4" x14ac:dyDescent="0.25">
      <c r="A7" s="121">
        <v>7</v>
      </c>
      <c r="B7" s="123" t="s">
        <v>661</v>
      </c>
      <c r="C7" s="123" t="s">
        <v>688</v>
      </c>
      <c r="D7" s="145">
        <v>40115</v>
      </c>
      <c r="E7" s="65" t="s">
        <v>897</v>
      </c>
      <c r="F7" s="223" t="s">
        <v>323</v>
      </c>
      <c r="G7" s="221">
        <v>45512</v>
      </c>
      <c r="H7" s="224">
        <v>1</v>
      </c>
      <c r="I7" s="139" t="s">
        <v>12</v>
      </c>
      <c r="J7" s="121" t="s">
        <v>37</v>
      </c>
      <c r="K7" s="121" t="s">
        <v>511</v>
      </c>
      <c r="L7" s="165" t="s">
        <v>741</v>
      </c>
      <c r="M7" s="148" t="s">
        <v>707</v>
      </c>
      <c r="N7" s="148" t="s">
        <v>678</v>
      </c>
    </row>
    <row r="8" spans="1:29" ht="145.19999999999999" x14ac:dyDescent="0.25">
      <c r="A8" s="121">
        <v>8</v>
      </c>
      <c r="B8" s="123" t="s">
        <v>662</v>
      </c>
      <c r="C8" s="123" t="s">
        <v>743</v>
      </c>
      <c r="D8" s="145">
        <v>43626</v>
      </c>
      <c r="E8" s="134" t="s">
        <v>663</v>
      </c>
      <c r="F8" s="223" t="s">
        <v>353</v>
      </c>
      <c r="G8" s="221">
        <v>45512</v>
      </c>
      <c r="H8" s="224">
        <v>1</v>
      </c>
      <c r="I8" s="139" t="s">
        <v>12</v>
      </c>
      <c r="J8" s="121" t="s">
        <v>37</v>
      </c>
      <c r="K8" s="121" t="s">
        <v>511</v>
      </c>
      <c r="L8" s="148" t="s">
        <v>703</v>
      </c>
      <c r="M8" s="165" t="s">
        <v>781</v>
      </c>
      <c r="N8" s="148" t="s">
        <v>678</v>
      </c>
    </row>
    <row r="9" spans="1:29" ht="39.6" x14ac:dyDescent="0.25">
      <c r="A9" s="121">
        <v>9</v>
      </c>
      <c r="B9" s="123" t="s">
        <v>664</v>
      </c>
      <c r="C9" s="123" t="s">
        <v>689</v>
      </c>
      <c r="D9" s="145">
        <v>43151</v>
      </c>
      <c r="E9" s="134" t="s">
        <v>665</v>
      </c>
      <c r="F9" s="223" t="s">
        <v>353</v>
      </c>
      <c r="G9" s="221">
        <v>45512</v>
      </c>
      <c r="H9" s="224">
        <v>1</v>
      </c>
      <c r="I9" s="139" t="s">
        <v>12</v>
      </c>
      <c r="J9" s="121" t="s">
        <v>37</v>
      </c>
      <c r="K9" s="121" t="s">
        <v>511</v>
      </c>
      <c r="L9" s="165" t="s">
        <v>782</v>
      </c>
      <c r="M9" s="148" t="s">
        <v>707</v>
      </c>
      <c r="N9" s="148" t="s">
        <v>678</v>
      </c>
    </row>
    <row r="10" spans="1:29" ht="52.8" x14ac:dyDescent="0.25">
      <c r="A10" s="121">
        <v>10</v>
      </c>
      <c r="B10" s="123" t="s">
        <v>462</v>
      </c>
      <c r="C10" s="123" t="s">
        <v>690</v>
      </c>
      <c r="D10" s="145">
        <v>36592</v>
      </c>
      <c r="E10" s="112" t="str">
        <f>'DS67'!B1</f>
        <v>DS 67 APRUEBA REGLAMENTO PARA APLICACION DE ARTICULOS 15 Y 16 DE LEY Nº16.744, SOBRE EXENCIONES, REBAJAS Y RECARGOS DE LA COTIZACION ADICIONAL DIFERENCIADA</v>
      </c>
      <c r="F10" s="220" t="s">
        <v>323</v>
      </c>
      <c r="G10" s="221">
        <v>45512</v>
      </c>
      <c r="H10" s="222">
        <f>'DS67'!B3</f>
        <v>1</v>
      </c>
      <c r="I10" s="212" t="s">
        <v>12</v>
      </c>
      <c r="J10" s="124" t="s">
        <v>37</v>
      </c>
      <c r="K10" s="124" t="s">
        <v>573</v>
      </c>
      <c r="L10" s="155" t="s">
        <v>785</v>
      </c>
      <c r="M10" s="147" t="s">
        <v>707</v>
      </c>
      <c r="N10" s="148" t="s">
        <v>678</v>
      </c>
      <c r="O10" s="27"/>
      <c r="P10" s="27"/>
      <c r="Q10" s="27"/>
      <c r="R10" s="27"/>
      <c r="S10" s="27"/>
      <c r="T10" s="27"/>
      <c r="U10" s="27"/>
      <c r="V10" s="27"/>
      <c r="W10" s="27"/>
      <c r="X10" s="27"/>
      <c r="Y10" s="27"/>
      <c r="Z10" s="27"/>
      <c r="AA10" s="27"/>
      <c r="AB10" s="27"/>
      <c r="AC10" s="27"/>
    </row>
    <row r="11" spans="1:29" ht="26.4" x14ac:dyDescent="0.25">
      <c r="A11" s="121">
        <v>11</v>
      </c>
      <c r="B11" s="123" t="s">
        <v>451</v>
      </c>
      <c r="C11" s="123" t="s">
        <v>687</v>
      </c>
      <c r="D11" s="145">
        <v>42630</v>
      </c>
      <c r="E11" s="112" t="str">
        <f>'Ley 20949'!B1</f>
        <v>Ley 20949 MODIFICA EL CÓDIGO DEL TRABAJO PARA REDUCIR EL PESO DE LAS CARGAS DE MANIPULACIÓN MANUAL</v>
      </c>
      <c r="F11" s="220" t="s">
        <v>323</v>
      </c>
      <c r="G11" s="221">
        <v>45512</v>
      </c>
      <c r="H11" s="222">
        <f>'Ley 20949'!B2</f>
        <v>1</v>
      </c>
      <c r="I11" s="212" t="s">
        <v>12</v>
      </c>
      <c r="J11" s="124" t="s">
        <v>37</v>
      </c>
      <c r="K11" s="124" t="s">
        <v>341</v>
      </c>
      <c r="L11" s="147" t="s">
        <v>703</v>
      </c>
      <c r="M11" s="147" t="s">
        <v>707</v>
      </c>
      <c r="N11" s="148" t="s">
        <v>678</v>
      </c>
      <c r="O11" s="27"/>
      <c r="P11" s="27"/>
      <c r="Q11" s="27"/>
      <c r="R11" s="27"/>
      <c r="S11" s="27"/>
      <c r="T11" s="27"/>
      <c r="U11" s="27"/>
      <c r="V11" s="27"/>
      <c r="W11" s="27"/>
      <c r="X11" s="27"/>
      <c r="Y11" s="27"/>
      <c r="Z11" s="27"/>
      <c r="AA11" s="27"/>
      <c r="AB11" s="27"/>
      <c r="AC11" s="27"/>
    </row>
    <row r="12" spans="1:29" ht="52.8" x14ac:dyDescent="0.25">
      <c r="A12" s="121">
        <v>12</v>
      </c>
      <c r="B12" s="123" t="s">
        <v>463</v>
      </c>
      <c r="C12" s="123" t="s">
        <v>690</v>
      </c>
      <c r="D12" s="145">
        <v>38607</v>
      </c>
      <c r="E12" s="112" t="str">
        <f>'DS 63'!B1</f>
        <v>Decreto 63 APRUEBA REGLAMENTO PARA LA APLICACION DE LA LEY Nº 20.001, QUE REGULA EL PESO MAXIMO DE CARGA HUMANA</v>
      </c>
      <c r="F12" s="220" t="s">
        <v>323</v>
      </c>
      <c r="G12" s="221">
        <v>45512</v>
      </c>
      <c r="H12" s="222">
        <f>'DS 63'!B2</f>
        <v>1</v>
      </c>
      <c r="I12" s="212" t="s">
        <v>12</v>
      </c>
      <c r="J12" s="124" t="s">
        <v>37</v>
      </c>
      <c r="K12" s="124" t="s">
        <v>341</v>
      </c>
      <c r="L12" s="155" t="s">
        <v>788</v>
      </c>
      <c r="M12" s="147" t="s">
        <v>707</v>
      </c>
      <c r="N12" s="148" t="s">
        <v>678</v>
      </c>
      <c r="O12" s="27"/>
      <c r="P12" s="27"/>
      <c r="Q12" s="27"/>
      <c r="R12" s="27"/>
      <c r="S12" s="27"/>
      <c r="T12" s="27"/>
      <c r="U12" s="27"/>
      <c r="V12" s="27"/>
      <c r="W12" s="27"/>
      <c r="X12" s="27"/>
      <c r="Y12" s="27"/>
      <c r="Z12" s="27"/>
      <c r="AA12" s="27"/>
      <c r="AB12" s="27"/>
      <c r="AC12" s="27"/>
    </row>
    <row r="13" spans="1:29" ht="184.8" x14ac:dyDescent="0.25">
      <c r="A13" s="121">
        <v>13</v>
      </c>
      <c r="B13" s="123" t="s">
        <v>666</v>
      </c>
      <c r="C13" s="123" t="s">
        <v>789</v>
      </c>
      <c r="D13" s="123"/>
      <c r="E13" s="112" t="str">
        <f>'NCH1411'!B1</f>
        <v>NCH Nº 1411</v>
      </c>
      <c r="F13" s="220" t="s">
        <v>353</v>
      </c>
      <c r="G13" s="221">
        <v>45512</v>
      </c>
      <c r="H13" s="222">
        <f>'NCH1411'!B2</f>
        <v>1</v>
      </c>
      <c r="I13" s="212" t="s">
        <v>12</v>
      </c>
      <c r="J13" s="124" t="s">
        <v>37</v>
      </c>
      <c r="K13" s="124" t="s">
        <v>511</v>
      </c>
      <c r="L13" s="155" t="s">
        <v>790</v>
      </c>
      <c r="M13" s="147" t="s">
        <v>707</v>
      </c>
      <c r="N13" s="148" t="s">
        <v>678</v>
      </c>
      <c r="O13" s="27"/>
      <c r="P13" s="27"/>
      <c r="Q13" s="27"/>
      <c r="R13" s="27"/>
      <c r="S13" s="27"/>
      <c r="T13" s="27"/>
      <c r="U13" s="27"/>
      <c r="V13" s="27"/>
      <c r="W13" s="27"/>
      <c r="X13" s="27"/>
      <c r="Y13" s="27"/>
      <c r="Z13" s="27"/>
      <c r="AA13" s="27"/>
      <c r="AB13" s="27"/>
      <c r="AC13" s="27"/>
    </row>
    <row r="14" spans="1:29" ht="39.6" x14ac:dyDescent="0.25">
      <c r="A14" s="121">
        <v>14</v>
      </c>
      <c r="B14" s="208" t="s">
        <v>452</v>
      </c>
      <c r="C14" s="208" t="s">
        <v>791</v>
      </c>
      <c r="D14" s="209">
        <v>38429</v>
      </c>
      <c r="E14" s="112" t="str">
        <f>'LEY 20005'!B1</f>
        <v>Ley 20005 Tipifica y sanciona el acoso sexual</v>
      </c>
      <c r="F14" s="220" t="s">
        <v>323</v>
      </c>
      <c r="G14" s="221">
        <v>45512</v>
      </c>
      <c r="H14" s="222">
        <f>'LEY 20005'!B2</f>
        <v>1</v>
      </c>
      <c r="I14" s="212" t="s">
        <v>12</v>
      </c>
      <c r="J14" s="124" t="s">
        <v>37</v>
      </c>
      <c r="K14" s="124" t="s">
        <v>511</v>
      </c>
      <c r="L14" s="147" t="s">
        <v>703</v>
      </c>
      <c r="M14" s="147" t="s">
        <v>707</v>
      </c>
      <c r="N14" s="147" t="s">
        <v>742</v>
      </c>
      <c r="O14" s="27"/>
      <c r="P14" s="27"/>
      <c r="Q14" s="27"/>
      <c r="R14" s="27"/>
      <c r="S14" s="27"/>
      <c r="T14" s="27"/>
      <c r="U14" s="27"/>
      <c r="V14" s="27"/>
      <c r="W14" s="27"/>
      <c r="X14" s="27"/>
      <c r="Y14" s="27"/>
      <c r="Z14" s="27"/>
      <c r="AA14" s="27"/>
      <c r="AB14" s="27"/>
      <c r="AC14" s="27"/>
    </row>
    <row r="15" spans="1:29" ht="26.4" x14ac:dyDescent="0.25">
      <c r="A15" s="121">
        <v>15</v>
      </c>
      <c r="B15" s="123" t="s">
        <v>453</v>
      </c>
      <c r="C15" s="123" t="s">
        <v>793</v>
      </c>
      <c r="D15" s="145">
        <v>38799</v>
      </c>
      <c r="E15" s="112" t="str">
        <f>'LEY 20096'!B1</f>
        <v>Ley 20096 Establece Mecanismos de Control Aplicables a las Sustancias Agotadoras de la Capa de Ozono</v>
      </c>
      <c r="F15" s="220" t="s">
        <v>323</v>
      </c>
      <c r="G15" s="221">
        <v>45512</v>
      </c>
      <c r="H15" s="222">
        <v>1</v>
      </c>
      <c r="I15" s="212" t="s">
        <v>12</v>
      </c>
      <c r="J15" s="124" t="s">
        <v>37</v>
      </c>
      <c r="K15" s="124" t="s">
        <v>341</v>
      </c>
      <c r="L15" s="147" t="s">
        <v>703</v>
      </c>
      <c r="M15" s="147" t="s">
        <v>707</v>
      </c>
      <c r="N15" s="147" t="s">
        <v>706</v>
      </c>
      <c r="O15" s="27"/>
      <c r="P15" s="27"/>
      <c r="Q15" s="27"/>
      <c r="R15" s="27"/>
      <c r="S15" s="27"/>
      <c r="T15" s="27"/>
      <c r="U15" s="27"/>
      <c r="V15" s="27"/>
      <c r="W15" s="27"/>
      <c r="X15" s="27"/>
      <c r="Y15" s="27"/>
      <c r="Z15" s="27"/>
      <c r="AA15" s="27"/>
      <c r="AB15" s="27"/>
      <c r="AC15" s="27"/>
    </row>
    <row r="16" spans="1:29" ht="26.4" x14ac:dyDescent="0.25">
      <c r="A16" s="121">
        <v>16</v>
      </c>
      <c r="B16" s="123" t="s">
        <v>472</v>
      </c>
      <c r="C16" s="123" t="s">
        <v>691</v>
      </c>
      <c r="D16" s="145">
        <v>30033</v>
      </c>
      <c r="E16" s="112" t="str">
        <f>'DS18'!B1</f>
        <v>D.S. Nº 18 Certificacion de Calidad de EPP</v>
      </c>
      <c r="F16" s="220" t="s">
        <v>353</v>
      </c>
      <c r="G16" s="221">
        <v>45512</v>
      </c>
      <c r="H16" s="222">
        <f>'DS18'!B2</f>
        <v>1</v>
      </c>
      <c r="I16" s="212" t="s">
        <v>12</v>
      </c>
      <c r="J16" s="124" t="s">
        <v>37</v>
      </c>
      <c r="K16" s="124" t="s">
        <v>341</v>
      </c>
      <c r="L16" s="155" t="s">
        <v>796</v>
      </c>
      <c r="M16" s="147" t="s">
        <v>707</v>
      </c>
      <c r="N16" s="147" t="s">
        <v>678</v>
      </c>
      <c r="O16" s="27"/>
      <c r="P16" s="27"/>
      <c r="Q16" s="27"/>
      <c r="R16" s="27"/>
      <c r="S16" s="27"/>
      <c r="T16" s="27"/>
      <c r="U16" s="27"/>
      <c r="V16" s="27"/>
      <c r="W16" s="27"/>
      <c r="X16" s="27"/>
      <c r="Y16" s="27"/>
      <c r="Z16" s="27"/>
      <c r="AA16" s="27"/>
      <c r="AB16" s="27"/>
      <c r="AC16" s="27"/>
    </row>
    <row r="17" spans="1:29" x14ac:dyDescent="0.25">
      <c r="A17" s="121">
        <v>17</v>
      </c>
      <c r="B17" s="123" t="s">
        <v>473</v>
      </c>
      <c r="C17" s="123" t="s">
        <v>686</v>
      </c>
      <c r="D17" s="145">
        <v>38014</v>
      </c>
      <c r="E17" s="112" t="str">
        <f>'DS254'!B1</f>
        <v>D.S.Nº 254 Hoja de datos de seguridad de productos Quimicos</v>
      </c>
      <c r="F17" s="220" t="s">
        <v>353</v>
      </c>
      <c r="G17" s="221">
        <v>45512</v>
      </c>
      <c r="H17" s="222">
        <f>'DS254'!B2</f>
        <v>1</v>
      </c>
      <c r="I17" s="212" t="s">
        <v>285</v>
      </c>
      <c r="J17" s="124" t="s">
        <v>286</v>
      </c>
      <c r="K17" s="124" t="s">
        <v>341</v>
      </c>
      <c r="L17" s="147" t="s">
        <v>703</v>
      </c>
      <c r="M17" s="147" t="s">
        <v>707</v>
      </c>
      <c r="N17" s="147" t="s">
        <v>706</v>
      </c>
      <c r="O17" s="27"/>
      <c r="P17" s="27"/>
      <c r="Q17" s="27"/>
      <c r="R17" s="27"/>
      <c r="S17" s="27"/>
      <c r="T17" s="27"/>
      <c r="U17" s="27"/>
      <c r="V17" s="27"/>
      <c r="W17" s="27"/>
      <c r="X17" s="27"/>
      <c r="Y17" s="27"/>
      <c r="Z17" s="27"/>
      <c r="AA17" s="27"/>
      <c r="AB17" s="27"/>
      <c r="AC17" s="27"/>
    </row>
    <row r="18" spans="1:29" ht="39.6" x14ac:dyDescent="0.25">
      <c r="A18" s="121">
        <v>18</v>
      </c>
      <c r="B18" s="123" t="s">
        <v>474</v>
      </c>
      <c r="C18" s="123" t="s">
        <v>687</v>
      </c>
      <c r="D18" s="145">
        <v>24996</v>
      </c>
      <c r="E18" s="112" t="str">
        <f>'DS109'!B1</f>
        <v>D.S.Nº 109 Evaluaciòn de accidente de trabajo y enfermedades profesionales</v>
      </c>
      <c r="F18" s="220" t="s">
        <v>598</v>
      </c>
      <c r="G18" s="221">
        <v>45512</v>
      </c>
      <c r="H18" s="222">
        <f>'DS109'!B2</f>
        <v>1</v>
      </c>
      <c r="I18" s="212" t="s">
        <v>12</v>
      </c>
      <c r="J18" s="124" t="s">
        <v>37</v>
      </c>
      <c r="K18" s="124" t="s">
        <v>511</v>
      </c>
      <c r="L18" s="155" t="s">
        <v>795</v>
      </c>
      <c r="M18" s="147" t="s">
        <v>707</v>
      </c>
      <c r="N18" s="147" t="s">
        <v>678</v>
      </c>
      <c r="O18" s="27"/>
      <c r="P18" s="27"/>
      <c r="Q18" s="27"/>
      <c r="R18" s="27"/>
      <c r="S18" s="27"/>
      <c r="T18" s="27"/>
      <c r="U18" s="27"/>
      <c r="V18" s="27"/>
      <c r="W18" s="27"/>
      <c r="X18" s="27"/>
      <c r="Y18" s="27"/>
      <c r="Z18" s="27"/>
      <c r="AA18" s="27"/>
      <c r="AB18" s="27"/>
      <c r="AC18" s="27"/>
    </row>
    <row r="19" spans="1:29" ht="39.6" x14ac:dyDescent="0.25">
      <c r="A19" s="121">
        <v>19</v>
      </c>
      <c r="B19" s="208" t="s">
        <v>612</v>
      </c>
      <c r="C19" s="208" t="s">
        <v>692</v>
      </c>
      <c r="D19" s="209">
        <v>38853</v>
      </c>
      <c r="E19" s="112" t="str">
        <f>'LEY20105'!B1</f>
        <v>Ley Nº 19.419 REGULA ACTIVIDADES QUE INDICA RELACIONADAS CON EL TABACO</v>
      </c>
      <c r="F19" s="210" t="s">
        <v>323</v>
      </c>
      <c r="G19" s="221">
        <v>45512</v>
      </c>
      <c r="H19" s="211">
        <f>'LEY20105'!B2</f>
        <v>1</v>
      </c>
      <c r="I19" s="212" t="s">
        <v>12</v>
      </c>
      <c r="J19" s="124" t="s">
        <v>37</v>
      </c>
      <c r="K19" s="124" t="s">
        <v>511</v>
      </c>
      <c r="L19" s="155" t="s">
        <v>899</v>
      </c>
      <c r="M19" s="147" t="s">
        <v>707</v>
      </c>
      <c r="N19" s="147" t="s">
        <v>799</v>
      </c>
      <c r="O19" s="27"/>
      <c r="P19" s="27"/>
      <c r="Q19" s="27"/>
      <c r="R19" s="27"/>
      <c r="S19" s="27"/>
      <c r="T19" s="27"/>
      <c r="U19" s="27"/>
      <c r="V19" s="27"/>
      <c r="W19" s="27"/>
      <c r="X19" s="27"/>
      <c r="Y19" s="27"/>
      <c r="Z19" s="27"/>
      <c r="AA19" s="27"/>
      <c r="AB19" s="27"/>
      <c r="AC19" s="27"/>
    </row>
    <row r="20" spans="1:29" ht="39.6" x14ac:dyDescent="0.25">
      <c r="A20" s="121">
        <v>20</v>
      </c>
      <c r="B20" s="123" t="s">
        <v>613</v>
      </c>
      <c r="C20" s="123" t="s">
        <v>791</v>
      </c>
      <c r="D20" s="145">
        <v>38597</v>
      </c>
      <c r="E20" s="112" t="str">
        <f>'LEY20047'!B1</f>
        <v>Ley Nº 20.047 Establece permiso Paternal</v>
      </c>
      <c r="F20" s="220" t="s">
        <v>323</v>
      </c>
      <c r="G20" s="221">
        <v>45512</v>
      </c>
      <c r="H20" s="222">
        <f>'LEY20047'!B2</f>
        <v>1</v>
      </c>
      <c r="I20" s="212" t="s">
        <v>12</v>
      </c>
      <c r="J20" s="124" t="s">
        <v>37</v>
      </c>
      <c r="K20" s="124" t="s">
        <v>511</v>
      </c>
      <c r="L20" s="147" t="s">
        <v>703</v>
      </c>
      <c r="M20" s="147" t="s">
        <v>707</v>
      </c>
      <c r="N20" s="147" t="s">
        <v>742</v>
      </c>
      <c r="O20" s="27"/>
      <c r="P20" s="27"/>
      <c r="Q20" s="27"/>
      <c r="R20" s="27"/>
      <c r="S20" s="27"/>
      <c r="T20" s="27"/>
      <c r="U20" s="27"/>
      <c r="V20" s="27"/>
      <c r="W20" s="27"/>
      <c r="X20" s="27"/>
      <c r="Y20" s="27"/>
      <c r="Z20" s="27"/>
      <c r="AA20" s="27"/>
      <c r="AB20" s="27"/>
      <c r="AC20" s="27"/>
    </row>
    <row r="21" spans="1:29" ht="158.4" x14ac:dyDescent="0.25">
      <c r="A21" s="121">
        <v>21</v>
      </c>
      <c r="B21" s="123" t="s">
        <v>454</v>
      </c>
      <c r="C21" s="123" t="s">
        <v>686</v>
      </c>
      <c r="D21" s="145">
        <v>42458</v>
      </c>
      <c r="E21" s="134" t="str">
        <f>'DS43'!B1</f>
        <v>DS 43 APRUEBA EL REGLAMENTO DE ALMACENAMIENTO DE SUSTANCIAS PELIGROSAS</v>
      </c>
      <c r="F21" s="210" t="s">
        <v>353</v>
      </c>
      <c r="G21" s="221">
        <v>45512</v>
      </c>
      <c r="H21" s="225">
        <f>'DS43'!B2</f>
        <v>1</v>
      </c>
      <c r="I21" s="212" t="s">
        <v>285</v>
      </c>
      <c r="J21" s="124" t="s">
        <v>286</v>
      </c>
      <c r="K21" s="124" t="s">
        <v>361</v>
      </c>
      <c r="L21" s="155" t="s">
        <v>801</v>
      </c>
      <c r="M21" s="155" t="s">
        <v>804</v>
      </c>
      <c r="N21" s="147" t="s">
        <v>799</v>
      </c>
      <c r="O21" s="27"/>
      <c r="P21" s="27"/>
      <c r="Q21" s="27"/>
      <c r="R21" s="27"/>
      <c r="S21" s="27"/>
      <c r="T21" s="27"/>
      <c r="U21" s="27"/>
      <c r="V21" s="27"/>
      <c r="W21" s="27"/>
      <c r="X21" s="27"/>
      <c r="Y21" s="27"/>
      <c r="Z21" s="27"/>
      <c r="AA21" s="27"/>
      <c r="AB21" s="27"/>
      <c r="AC21" s="27"/>
    </row>
    <row r="22" spans="1:29" ht="92.4" x14ac:dyDescent="0.25">
      <c r="A22" s="121">
        <v>22</v>
      </c>
      <c r="B22" s="123" t="s">
        <v>455</v>
      </c>
      <c r="C22" s="123" t="s">
        <v>805</v>
      </c>
      <c r="D22" s="145">
        <v>27863</v>
      </c>
      <c r="E22" s="113" t="str">
        <f>'DS 458'!B1</f>
        <v>DFL 458 APRUEBA NUEVA LEY GENERAL DE URBANISMO Y CONSTRUCCIONES</v>
      </c>
      <c r="F22" s="210" t="s">
        <v>323</v>
      </c>
      <c r="G22" s="221">
        <v>45512</v>
      </c>
      <c r="H22" s="225">
        <f>'DS 458'!B2</f>
        <v>1</v>
      </c>
      <c r="I22" s="212" t="s">
        <v>12</v>
      </c>
      <c r="J22" s="124" t="s">
        <v>37</v>
      </c>
      <c r="K22" s="124" t="s">
        <v>511</v>
      </c>
      <c r="L22" s="155" t="s">
        <v>821</v>
      </c>
      <c r="M22" s="155" t="s">
        <v>819</v>
      </c>
      <c r="N22" s="147" t="s">
        <v>820</v>
      </c>
      <c r="O22" s="27"/>
      <c r="P22" s="27"/>
      <c r="Q22" s="27"/>
      <c r="R22" s="27"/>
      <c r="S22" s="27"/>
      <c r="T22" s="27"/>
      <c r="U22" s="27"/>
      <c r="V22" s="27"/>
      <c r="W22" s="27"/>
      <c r="X22" s="27"/>
      <c r="Y22" s="27"/>
      <c r="Z22" s="27"/>
      <c r="AA22" s="27"/>
      <c r="AB22" s="27"/>
      <c r="AC22" s="27"/>
    </row>
    <row r="23" spans="1:29" ht="92.4" x14ac:dyDescent="0.25">
      <c r="A23" s="121">
        <v>23</v>
      </c>
      <c r="B23" s="123" t="s">
        <v>456</v>
      </c>
      <c r="C23" s="123" t="s">
        <v>805</v>
      </c>
      <c r="D23" s="145">
        <v>33760</v>
      </c>
      <c r="E23" s="113" t="str">
        <f>'DS 47'!B1</f>
        <v>DS 47 FIJA NUEVO TEXTO DE LA ORDENANZA GENERAL DE LA LEY GENERAL DE URBANISMO Y CONSTRUCCIONES</v>
      </c>
      <c r="F23" s="210" t="s">
        <v>323</v>
      </c>
      <c r="G23" s="221">
        <v>45512</v>
      </c>
      <c r="H23" s="225">
        <f>'DS 47'!B2</f>
        <v>1</v>
      </c>
      <c r="I23" s="212" t="s">
        <v>12</v>
      </c>
      <c r="J23" s="124" t="s">
        <v>37</v>
      </c>
      <c r="K23" s="124" t="s">
        <v>341</v>
      </c>
      <c r="L23" s="155" t="s">
        <v>818</v>
      </c>
      <c r="M23" s="155" t="s">
        <v>819</v>
      </c>
      <c r="N23" s="147" t="s">
        <v>820</v>
      </c>
      <c r="O23" s="27"/>
      <c r="P23" s="27"/>
      <c r="Q23" s="27"/>
      <c r="R23" s="27"/>
      <c r="S23" s="27"/>
      <c r="T23" s="27"/>
      <c r="U23" s="27"/>
      <c r="V23" s="27"/>
      <c r="W23" s="27"/>
      <c r="X23" s="27"/>
      <c r="Y23" s="27"/>
      <c r="Z23" s="27"/>
      <c r="AA23" s="27"/>
      <c r="AB23" s="27"/>
      <c r="AC23" s="27"/>
    </row>
    <row r="24" spans="1:29" ht="66" x14ac:dyDescent="0.25">
      <c r="A24" s="121">
        <v>24</v>
      </c>
      <c r="B24" s="123" t="s">
        <v>450</v>
      </c>
      <c r="C24" s="123" t="s">
        <v>791</v>
      </c>
      <c r="D24" s="145">
        <v>37637</v>
      </c>
      <c r="E24" s="113" t="str">
        <f>'DFL1'!B1</f>
        <v>D.F.L. Nº 1 FIJA EL TEXTO REFUNDIDO, COORDINADO Y SISTEMATIZADO DEL CÓDIGO DEL TRABAJO</v>
      </c>
      <c r="F24" s="210" t="s">
        <v>323</v>
      </c>
      <c r="G24" s="221">
        <v>45512</v>
      </c>
      <c r="H24" s="225">
        <f>'DFL1'!B2</f>
        <v>1</v>
      </c>
      <c r="I24" s="212" t="s">
        <v>12</v>
      </c>
      <c r="J24" s="124" t="s">
        <v>37</v>
      </c>
      <c r="K24" s="124" t="s">
        <v>511</v>
      </c>
      <c r="L24" s="155" t="s">
        <v>822</v>
      </c>
      <c r="M24" s="147" t="s">
        <v>707</v>
      </c>
      <c r="N24" s="147" t="s">
        <v>742</v>
      </c>
      <c r="O24" s="27"/>
      <c r="P24" s="27"/>
      <c r="Q24" s="27"/>
      <c r="R24" s="27"/>
      <c r="S24" s="27"/>
      <c r="T24" s="27"/>
      <c r="U24" s="27"/>
      <c r="V24" s="27"/>
      <c r="W24" s="27"/>
      <c r="X24" s="27"/>
      <c r="Y24" s="27"/>
      <c r="Z24" s="27"/>
      <c r="AA24" s="27"/>
      <c r="AB24" s="27"/>
      <c r="AC24" s="27"/>
    </row>
    <row r="25" spans="1:29" ht="52.8" x14ac:dyDescent="0.25">
      <c r="A25" s="121">
        <v>25</v>
      </c>
      <c r="B25" s="123" t="s">
        <v>457</v>
      </c>
      <c r="C25" s="123" t="s">
        <v>837</v>
      </c>
      <c r="D25" s="145">
        <v>24868</v>
      </c>
      <c r="E25" s="112" t="str">
        <f>'DFL 725 Codigo Sanitario'!B1</f>
        <v>DFL 725 CODIGO SANITARIO</v>
      </c>
      <c r="F25" s="220" t="s">
        <v>323</v>
      </c>
      <c r="G25" s="221">
        <v>45512</v>
      </c>
      <c r="H25" s="222">
        <f>'Ley 18490'!B2</f>
        <v>1</v>
      </c>
      <c r="I25" s="212" t="s">
        <v>12</v>
      </c>
      <c r="J25" s="124" t="s">
        <v>37</v>
      </c>
      <c r="K25" s="124" t="s">
        <v>511</v>
      </c>
      <c r="L25" s="155" t="s">
        <v>838</v>
      </c>
      <c r="M25" s="147" t="s">
        <v>707</v>
      </c>
      <c r="N25" s="147" t="s">
        <v>839</v>
      </c>
      <c r="O25" s="27"/>
      <c r="P25" s="27"/>
      <c r="Q25" s="27"/>
      <c r="R25" s="27"/>
      <c r="S25" s="27"/>
      <c r="T25" s="27"/>
      <c r="U25" s="27"/>
      <c r="V25" s="27"/>
      <c r="W25" s="27"/>
      <c r="X25" s="27"/>
      <c r="Y25" s="27"/>
      <c r="Z25" s="27"/>
      <c r="AA25" s="27"/>
      <c r="AB25" s="27"/>
      <c r="AC25" s="27"/>
    </row>
    <row r="26" spans="1:29" ht="52.8" x14ac:dyDescent="0.25">
      <c r="A26" s="121">
        <v>26</v>
      </c>
      <c r="B26" s="123" t="s">
        <v>458</v>
      </c>
      <c r="C26" s="123" t="s">
        <v>693</v>
      </c>
      <c r="D26" s="145">
        <v>31416</v>
      </c>
      <c r="E26" s="112" t="str">
        <f>'Ley 18490'!B1</f>
        <v>Ley 18490
ESTABLECE SEGURO OBLIGATORIO DE ACCIDENTES PERSONALES
CAUSADOS POR CIRCULACION DE VEHICULOS MOTORIZADOS</v>
      </c>
      <c r="F26" s="220" t="s">
        <v>323</v>
      </c>
      <c r="G26" s="221">
        <v>45512</v>
      </c>
      <c r="H26" s="226">
        <f>'Ley 18490'!B2</f>
        <v>1</v>
      </c>
      <c r="I26" s="212" t="s">
        <v>12</v>
      </c>
      <c r="J26" s="124" t="s">
        <v>37</v>
      </c>
      <c r="K26" s="124" t="s">
        <v>511</v>
      </c>
      <c r="L26" s="155" t="s">
        <v>851</v>
      </c>
      <c r="M26" s="155" t="s">
        <v>707</v>
      </c>
      <c r="N26" s="155" t="s">
        <v>742</v>
      </c>
      <c r="O26" s="27"/>
      <c r="P26" s="27"/>
      <c r="Q26" s="27"/>
      <c r="R26" s="27"/>
      <c r="S26" s="27"/>
      <c r="T26" s="27"/>
      <c r="U26" s="27"/>
      <c r="V26" s="27"/>
      <c r="W26" s="27"/>
      <c r="X26" s="27"/>
      <c r="Y26" s="27"/>
      <c r="Z26" s="27"/>
      <c r="AA26" s="27"/>
      <c r="AB26" s="27"/>
      <c r="AC26" s="27"/>
    </row>
    <row r="27" spans="1:29" ht="60.75" customHeight="1" x14ac:dyDescent="0.25">
      <c r="A27" s="121">
        <v>27</v>
      </c>
      <c r="B27" s="123" t="s">
        <v>943</v>
      </c>
      <c r="C27" s="123" t="s">
        <v>696</v>
      </c>
      <c r="D27" s="145">
        <v>38238</v>
      </c>
      <c r="E27" s="113" t="s">
        <v>667</v>
      </c>
      <c r="F27" s="220" t="s">
        <v>323</v>
      </c>
      <c r="G27" s="221">
        <v>45512</v>
      </c>
      <c r="H27" s="226">
        <f>'DS 601'!B2</f>
        <v>1</v>
      </c>
      <c r="I27" s="212" t="s">
        <v>12</v>
      </c>
      <c r="J27" s="124" t="s">
        <v>37</v>
      </c>
      <c r="K27" s="124" t="s">
        <v>341</v>
      </c>
      <c r="L27" s="155" t="s">
        <v>894</v>
      </c>
      <c r="M27" s="155" t="s">
        <v>707</v>
      </c>
      <c r="N27" s="155" t="s">
        <v>706</v>
      </c>
      <c r="O27" s="27"/>
      <c r="P27" s="27"/>
      <c r="Q27" s="27"/>
      <c r="R27" s="27"/>
      <c r="S27" s="27"/>
      <c r="T27" s="27"/>
      <c r="U27" s="27"/>
      <c r="V27" s="27"/>
      <c r="W27" s="27"/>
      <c r="X27" s="27"/>
      <c r="Y27" s="27"/>
      <c r="Z27" s="27"/>
      <c r="AA27" s="27"/>
      <c r="AB27" s="27"/>
      <c r="AC27" s="27"/>
    </row>
    <row r="28" spans="1:29" ht="39.6" x14ac:dyDescent="0.25">
      <c r="A28" s="121">
        <v>28</v>
      </c>
      <c r="B28" s="123" t="s">
        <v>464</v>
      </c>
      <c r="C28" s="123" t="s">
        <v>854</v>
      </c>
      <c r="D28" s="145">
        <v>32991</v>
      </c>
      <c r="E28" s="112" t="str">
        <f>'Decreto 238'!B1</f>
        <v>PROMULGA PROTOCOLO DE MONTREAL RELATIVO A LAS SUSTANCIAS AGOTADORAS DE LA CAPA DE OZONO  DE 16 DE SEPTIEMBRE DE 1987</v>
      </c>
      <c r="F28" s="220" t="s">
        <v>323</v>
      </c>
      <c r="G28" s="221">
        <v>45512</v>
      </c>
      <c r="H28" s="226">
        <f>'Decreto 238'!B2</f>
        <v>1</v>
      </c>
      <c r="I28" s="212" t="s">
        <v>12</v>
      </c>
      <c r="J28" s="124" t="s">
        <v>37</v>
      </c>
      <c r="K28" s="124" t="s">
        <v>341</v>
      </c>
      <c r="L28" s="155" t="s">
        <v>703</v>
      </c>
      <c r="M28" s="155" t="s">
        <v>707</v>
      </c>
      <c r="N28" s="155" t="s">
        <v>706</v>
      </c>
      <c r="O28" s="27"/>
      <c r="P28" s="27"/>
      <c r="Q28" s="27"/>
      <c r="R28" s="27"/>
      <c r="S28" s="27"/>
      <c r="T28" s="27"/>
      <c r="U28" s="27"/>
      <c r="V28" s="27"/>
      <c r="W28" s="27"/>
      <c r="X28" s="27"/>
      <c r="Y28" s="27"/>
      <c r="Z28" s="27"/>
      <c r="AA28" s="27"/>
      <c r="AB28" s="27"/>
      <c r="AC28" s="27"/>
    </row>
    <row r="29" spans="1:29" ht="39.6" x14ac:dyDescent="0.25">
      <c r="A29" s="121">
        <v>29</v>
      </c>
      <c r="B29" s="123" t="s">
        <v>465</v>
      </c>
      <c r="C29" s="123" t="s">
        <v>855</v>
      </c>
      <c r="D29" s="145">
        <v>34440</v>
      </c>
      <c r="E29" s="112" t="str">
        <f>'Decreto 55'!B1</f>
        <v>ESTABLECE NORMAS DE EMISION APLICABLES A VEHICULOS MOTORIZADOS PESADOS QUE INDICA</v>
      </c>
      <c r="F29" s="220" t="s">
        <v>323</v>
      </c>
      <c r="G29" s="221">
        <v>45512</v>
      </c>
      <c r="H29" s="226">
        <f>'Decreto 55'!B2</f>
        <v>1</v>
      </c>
      <c r="I29" s="212" t="s">
        <v>12</v>
      </c>
      <c r="J29" s="124" t="s">
        <v>37</v>
      </c>
      <c r="K29" s="124" t="s">
        <v>341</v>
      </c>
      <c r="L29" s="155" t="s">
        <v>856</v>
      </c>
      <c r="M29" s="155" t="s">
        <v>707</v>
      </c>
      <c r="N29" s="155" t="s">
        <v>706</v>
      </c>
      <c r="O29" s="27"/>
      <c r="P29" s="27"/>
      <c r="Q29" s="27"/>
      <c r="R29" s="27"/>
      <c r="S29" s="27"/>
      <c r="T29" s="27"/>
      <c r="U29" s="27"/>
      <c r="V29" s="27"/>
      <c r="W29" s="27"/>
      <c r="X29" s="27"/>
      <c r="Y29" s="27"/>
      <c r="Z29" s="27"/>
      <c r="AA29" s="27"/>
      <c r="AB29" s="27"/>
      <c r="AC29" s="27"/>
    </row>
    <row r="30" spans="1:29" ht="52.8" x14ac:dyDescent="0.25">
      <c r="A30" s="121">
        <v>30</v>
      </c>
      <c r="B30" s="123" t="s">
        <v>467</v>
      </c>
      <c r="C30" s="123" t="s">
        <v>857</v>
      </c>
      <c r="D30" s="145">
        <v>39108</v>
      </c>
      <c r="E30" s="112" t="str">
        <f>'Ley 20160'!B1</f>
        <v>MODIFICA LA LEY Nº 19.039  SOBRE PROPIEDAD INDUSTRIAL</v>
      </c>
      <c r="F30" s="220" t="s">
        <v>323</v>
      </c>
      <c r="G30" s="221">
        <v>45512</v>
      </c>
      <c r="H30" s="226">
        <f>'Ley 20160'!B2</f>
        <v>1</v>
      </c>
      <c r="I30" s="212" t="s">
        <v>12</v>
      </c>
      <c r="J30" s="124" t="s">
        <v>37</v>
      </c>
      <c r="K30" s="124" t="s">
        <v>341</v>
      </c>
      <c r="L30" s="155" t="s">
        <v>703</v>
      </c>
      <c r="M30" s="155" t="s">
        <v>707</v>
      </c>
      <c r="N30" s="155" t="s">
        <v>820</v>
      </c>
      <c r="O30" s="27"/>
      <c r="P30" s="27"/>
      <c r="Q30" s="27"/>
      <c r="R30" s="27"/>
      <c r="S30" s="27"/>
      <c r="T30" s="27"/>
      <c r="U30" s="27"/>
      <c r="V30" s="27"/>
      <c r="W30" s="27"/>
      <c r="X30" s="27"/>
      <c r="Y30" s="27"/>
      <c r="Z30" s="27"/>
      <c r="AA30" s="27"/>
      <c r="AB30" s="27"/>
      <c r="AC30" s="27"/>
    </row>
    <row r="31" spans="1:29" ht="26.4" x14ac:dyDescent="0.25">
      <c r="A31" s="121">
        <v>31</v>
      </c>
      <c r="B31" s="123" t="s">
        <v>469</v>
      </c>
      <c r="C31" s="123" t="s">
        <v>854</v>
      </c>
      <c r="D31" s="145">
        <v>32940</v>
      </c>
      <c r="E31" s="112" t="str">
        <f>'Decreto 719'!B1</f>
        <v>PROMULGA EL CONVENIO DE VIENA PARA LA PROTECCION DE LA CAPA DE OZONO Y SUS ANEXOS I Y II</v>
      </c>
      <c r="F31" s="220" t="s">
        <v>323</v>
      </c>
      <c r="G31" s="221">
        <v>45512</v>
      </c>
      <c r="H31" s="226">
        <f>'Decreto 719'!B2</f>
        <v>1</v>
      </c>
      <c r="I31" s="212" t="s">
        <v>12</v>
      </c>
      <c r="J31" s="124" t="s">
        <v>37</v>
      </c>
      <c r="K31" s="124" t="s">
        <v>341</v>
      </c>
      <c r="L31" s="155" t="s">
        <v>703</v>
      </c>
      <c r="M31" s="155" t="s">
        <v>707</v>
      </c>
      <c r="N31" s="155" t="s">
        <v>706</v>
      </c>
      <c r="O31" s="27"/>
      <c r="P31" s="27"/>
      <c r="Q31" s="27"/>
      <c r="R31" s="27"/>
      <c r="S31" s="27"/>
      <c r="T31" s="27"/>
      <c r="U31" s="27"/>
      <c r="V31" s="27"/>
      <c r="W31" s="27"/>
      <c r="X31" s="27"/>
      <c r="Y31" s="27"/>
      <c r="Z31" s="27"/>
      <c r="AA31" s="27"/>
      <c r="AB31" s="27"/>
      <c r="AC31" s="27"/>
    </row>
    <row r="32" spans="1:29" ht="26.4" x14ac:dyDescent="0.25">
      <c r="A32" s="121">
        <v>32</v>
      </c>
      <c r="B32" s="123" t="s">
        <v>466</v>
      </c>
      <c r="C32" s="123" t="s">
        <v>858</v>
      </c>
      <c r="D32" s="145">
        <v>40302</v>
      </c>
      <c r="E32" s="112" t="s">
        <v>644</v>
      </c>
      <c r="F32" s="220" t="s">
        <v>323</v>
      </c>
      <c r="G32" s="221">
        <v>45512</v>
      </c>
      <c r="H32" s="226">
        <v>1</v>
      </c>
      <c r="I32" s="212" t="s">
        <v>285</v>
      </c>
      <c r="J32" s="124" t="s">
        <v>286</v>
      </c>
      <c r="K32" s="124" t="s">
        <v>341</v>
      </c>
      <c r="L32" s="155" t="s">
        <v>703</v>
      </c>
      <c r="M32" s="155" t="s">
        <v>707</v>
      </c>
      <c r="N32" s="155" t="s">
        <v>820</v>
      </c>
      <c r="O32" s="27"/>
      <c r="P32" s="27"/>
      <c r="Q32" s="27"/>
      <c r="R32" s="27"/>
      <c r="S32" s="27"/>
      <c r="T32" s="27"/>
      <c r="U32" s="27"/>
      <c r="V32" s="27"/>
      <c r="W32" s="27"/>
      <c r="X32" s="27"/>
      <c r="Y32" s="27"/>
      <c r="Z32" s="27"/>
      <c r="AA32" s="27"/>
      <c r="AB32" s="27"/>
      <c r="AC32" s="27"/>
    </row>
    <row r="33" spans="1:29" ht="52.8" x14ac:dyDescent="0.25">
      <c r="A33" s="121">
        <v>33</v>
      </c>
      <c r="B33" s="123" t="s">
        <v>495</v>
      </c>
      <c r="C33" s="123" t="s">
        <v>859</v>
      </c>
      <c r="D33" s="145">
        <v>41310</v>
      </c>
      <c r="E33" s="112" t="str">
        <f>'RES EX 218'!B1</f>
        <v>RESOLUCION EXENTA 218, MINISTERIO DE SALUD, APRUEBA INSTRUMENTO DE EVALUACION DE MEDIDAS PARA LA PREVENCION DE RIESGO PSICOSOCIALES EN EL TRABAJO</v>
      </c>
      <c r="F33" s="227" t="s">
        <v>354</v>
      </c>
      <c r="G33" s="221">
        <v>45512</v>
      </c>
      <c r="H33" s="226">
        <f>'RES EX 218'!B2</f>
        <v>1</v>
      </c>
      <c r="I33" s="212" t="s">
        <v>285</v>
      </c>
      <c r="J33" s="124" t="s">
        <v>286</v>
      </c>
      <c r="K33" s="124" t="s">
        <v>341</v>
      </c>
      <c r="L33" s="155" t="s">
        <v>703</v>
      </c>
      <c r="M33" s="155" t="s">
        <v>707</v>
      </c>
      <c r="N33" s="155" t="s">
        <v>678</v>
      </c>
      <c r="O33" s="27"/>
      <c r="P33" s="27"/>
      <c r="Q33" s="27"/>
      <c r="R33" s="27"/>
      <c r="S33" s="27"/>
      <c r="T33" s="27"/>
      <c r="U33" s="27"/>
      <c r="V33" s="27"/>
      <c r="W33" s="27"/>
      <c r="X33" s="27"/>
      <c r="Y33" s="27"/>
      <c r="Z33" s="27"/>
      <c r="AA33" s="27"/>
      <c r="AB33" s="27"/>
      <c r="AC33" s="27"/>
    </row>
    <row r="34" spans="1:29" ht="66" x14ac:dyDescent="0.25">
      <c r="A34" s="121">
        <v>34</v>
      </c>
      <c r="B34" s="123" t="s">
        <v>911</v>
      </c>
      <c r="C34" s="123" t="s">
        <v>692</v>
      </c>
      <c r="D34" s="145">
        <v>44859</v>
      </c>
      <c r="E34" s="134" t="str">
        <f>'RES EX 1448'!B1</f>
        <v>RESOLUCION EXENTA 1448, MINISTERIO DE SALUD, SUBSECRETARIA DE SALUD PUBLICA, ACTUALIZA PROTOCOLO DE VIGILANCIA DE RIESGOS PSICOSOCIALES EN EL TRABAJO Y DEJA SIN EFECTO LA RESOLUCIÓN Nº 1.433 EXENTA, DE 2017, DEL MINISTERIO DE SALUD</v>
      </c>
      <c r="F34" s="223" t="s">
        <v>497</v>
      </c>
      <c r="G34" s="221">
        <v>45512</v>
      </c>
      <c r="H34" s="228">
        <f>'RES EX 1448'!B2</f>
        <v>1</v>
      </c>
      <c r="I34" s="139" t="s">
        <v>285</v>
      </c>
      <c r="J34" s="121" t="s">
        <v>286</v>
      </c>
      <c r="K34" s="121" t="s">
        <v>341</v>
      </c>
      <c r="L34" s="155" t="s">
        <v>703</v>
      </c>
      <c r="M34" s="155" t="s">
        <v>707</v>
      </c>
      <c r="N34" s="155" t="s">
        <v>678</v>
      </c>
      <c r="O34" s="27"/>
      <c r="P34" s="27"/>
      <c r="Q34" s="27"/>
      <c r="R34" s="27"/>
      <c r="S34" s="27"/>
      <c r="T34" s="27"/>
      <c r="U34" s="27"/>
      <c r="V34" s="27"/>
      <c r="W34" s="27"/>
      <c r="X34" s="27"/>
      <c r="Y34" s="27"/>
      <c r="Z34" s="27"/>
      <c r="AA34" s="27"/>
      <c r="AB34" s="27"/>
      <c r="AC34" s="27"/>
    </row>
    <row r="35" spans="1:29" ht="52.8" x14ac:dyDescent="0.25">
      <c r="A35" s="121">
        <v>35</v>
      </c>
      <c r="B35" s="122" t="s">
        <v>610</v>
      </c>
      <c r="C35" s="122" t="s">
        <v>686</v>
      </c>
      <c r="D35" s="229">
        <v>41190</v>
      </c>
      <c r="E35" s="112" t="str">
        <f>TMERT!B1</f>
        <v>NORMA TÉCNICA DE IDENTIFICACIÓN Y EVALUACIÓN DE FACTORES DE RIESGO DE TRASTORNOS MUSCULOESQUELÉTICOS RELACIONADOS AL TRABAJO (TMERT)</v>
      </c>
      <c r="F35" s="220" t="s">
        <v>354</v>
      </c>
      <c r="G35" s="221">
        <v>45512</v>
      </c>
      <c r="H35" s="226">
        <f>TMERT!B2</f>
        <v>1</v>
      </c>
      <c r="I35" s="212" t="s">
        <v>12</v>
      </c>
      <c r="J35" s="124" t="s">
        <v>37</v>
      </c>
      <c r="K35" s="124" t="s">
        <v>341</v>
      </c>
      <c r="L35" s="155" t="s">
        <v>703</v>
      </c>
      <c r="M35" s="155" t="s">
        <v>707</v>
      </c>
      <c r="N35" s="155" t="s">
        <v>678</v>
      </c>
      <c r="O35" s="27"/>
      <c r="P35" s="27"/>
      <c r="Q35" s="27"/>
      <c r="R35" s="27"/>
      <c r="S35" s="27"/>
      <c r="T35" s="27"/>
      <c r="U35" s="27"/>
      <c r="V35" s="27"/>
      <c r="W35" s="27"/>
      <c r="X35" s="27"/>
      <c r="Y35" s="27"/>
      <c r="Z35" s="27"/>
      <c r="AA35" s="27"/>
      <c r="AB35" s="27"/>
      <c r="AC35" s="27"/>
    </row>
    <row r="36" spans="1:29" ht="39.6" x14ac:dyDescent="0.25">
      <c r="A36" s="121">
        <v>36</v>
      </c>
      <c r="B36" s="123" t="s">
        <v>459</v>
      </c>
      <c r="C36" s="123" t="s">
        <v>860</v>
      </c>
      <c r="D36" s="145">
        <v>41396</v>
      </c>
      <c r="E36" s="113" t="str">
        <f>'DS 1 RECT'!B1</f>
        <v>DS 1 APRUEBA REGLAMENTO DEL REGISTRO DE EMISIONES Y TRANSFERENCIAS DE CONTAMINANTES, RETC</v>
      </c>
      <c r="F36" s="210" t="s">
        <v>323</v>
      </c>
      <c r="G36" s="221">
        <v>45512</v>
      </c>
      <c r="H36" s="226">
        <f>'DS 1 RECT'!B2</f>
        <v>1</v>
      </c>
      <c r="I36" s="212" t="s">
        <v>12</v>
      </c>
      <c r="J36" s="124" t="s">
        <v>37</v>
      </c>
      <c r="K36" s="121" t="s">
        <v>511</v>
      </c>
      <c r="L36" s="165" t="s">
        <v>861</v>
      </c>
      <c r="M36" s="165" t="s">
        <v>707</v>
      </c>
      <c r="N36" s="165" t="s">
        <v>706</v>
      </c>
    </row>
    <row r="37" spans="1:29" ht="26.4" x14ac:dyDescent="0.25">
      <c r="A37" s="121">
        <v>37</v>
      </c>
      <c r="B37" s="123" t="s">
        <v>578</v>
      </c>
      <c r="C37" s="123" t="s">
        <v>865</v>
      </c>
      <c r="D37" s="145">
        <v>41951</v>
      </c>
      <c r="E37" s="113" t="str">
        <f>'ORD MUN 46'!B1</f>
        <v>Ordenanza Municipal N° 46 Gestión Ambiental Comunal</v>
      </c>
      <c r="F37" s="208" t="s">
        <v>353</v>
      </c>
      <c r="G37" s="221">
        <v>45512</v>
      </c>
      <c r="H37" s="226">
        <f>'ORD MUN 46'!B2</f>
        <v>1</v>
      </c>
      <c r="I37" s="212" t="s">
        <v>12</v>
      </c>
      <c r="J37" s="124" t="s">
        <v>37</v>
      </c>
      <c r="K37" s="121" t="s">
        <v>511</v>
      </c>
      <c r="L37" s="165" t="s">
        <v>703</v>
      </c>
      <c r="M37" s="165" t="s">
        <v>707</v>
      </c>
      <c r="N37" s="165" t="s">
        <v>706</v>
      </c>
    </row>
    <row r="38" spans="1:29" ht="66" x14ac:dyDescent="0.25">
      <c r="A38" s="121">
        <v>38</v>
      </c>
      <c r="B38" s="123" t="s">
        <v>907</v>
      </c>
      <c r="C38" s="123" t="s">
        <v>865</v>
      </c>
      <c r="D38" s="145">
        <v>41661</v>
      </c>
      <c r="E38" s="134" t="str">
        <f>'ORD MUN 56'!B1</f>
        <v>ORDENANZA 56, FIJASE EL SIGUIENTE TEXTO REFUNDIDO DE LA ORDENANZA LOCAL N°01, DE 24 DE DICIEMBRE 1996, QUE DETERMINA LA TARIFA DE ASEO DOMICILIARIO, SUS EXENCIONES Y EL COBRO ADICIONAL POR SOBREPRODUCCIÓN</v>
      </c>
      <c r="F38" s="123" t="s">
        <v>353</v>
      </c>
      <c r="G38" s="221">
        <v>45512</v>
      </c>
      <c r="H38" s="228">
        <f>'ORD MUN 56'!B2</f>
        <v>1</v>
      </c>
      <c r="I38" s="139" t="s">
        <v>12</v>
      </c>
      <c r="J38" s="121" t="s">
        <v>37</v>
      </c>
      <c r="K38" s="121" t="s">
        <v>341</v>
      </c>
      <c r="L38" s="165" t="s">
        <v>909</v>
      </c>
      <c r="M38" s="165" t="s">
        <v>707</v>
      </c>
      <c r="N38" s="165" t="s">
        <v>706</v>
      </c>
    </row>
    <row r="39" spans="1:29" ht="66" x14ac:dyDescent="0.25">
      <c r="A39" s="121">
        <v>39</v>
      </c>
      <c r="B39" s="122" t="s">
        <v>611</v>
      </c>
      <c r="C39" s="122" t="s">
        <v>865</v>
      </c>
      <c r="D39" s="229">
        <v>40598</v>
      </c>
      <c r="E39" s="113" t="str">
        <f>'Plan Regulador'!B1</f>
        <v>PLAN REGULADOR COMUNAL SAN PEDRO DE LA PAZ DE 24 DE FEBRERO 2011</v>
      </c>
      <c r="F39" s="208" t="s">
        <v>353</v>
      </c>
      <c r="G39" s="221">
        <v>45512</v>
      </c>
      <c r="H39" s="226">
        <f>'Plan Regulador'!B2</f>
        <v>1</v>
      </c>
      <c r="I39" s="212" t="s">
        <v>12</v>
      </c>
      <c r="J39" s="124" t="s">
        <v>37</v>
      </c>
      <c r="K39" s="121" t="s">
        <v>341</v>
      </c>
      <c r="L39" s="165" t="s">
        <v>866</v>
      </c>
      <c r="M39" s="165" t="s">
        <v>707</v>
      </c>
      <c r="N39" s="165" t="s">
        <v>820</v>
      </c>
    </row>
    <row r="40" spans="1:29" ht="52.8" x14ac:dyDescent="0.25">
      <c r="A40" s="121">
        <v>40</v>
      </c>
      <c r="B40" s="123" t="s">
        <v>460</v>
      </c>
      <c r="C40" s="123" t="s">
        <v>690</v>
      </c>
      <c r="D40" s="145">
        <v>25865</v>
      </c>
      <c r="E40" s="134" t="str">
        <f>'DS 206'!B1</f>
        <v>DS 206 de 1970 MODIFICA EL REGLAMENTO DE COMITES PARITARIOS DE HIGIENE Y SEGURIDAD</v>
      </c>
      <c r="F40" s="123" t="s">
        <v>323</v>
      </c>
      <c r="G40" s="221">
        <v>45512</v>
      </c>
      <c r="H40" s="228">
        <f>'DS 206'!B2</f>
        <v>1</v>
      </c>
      <c r="I40" s="139" t="s">
        <v>12</v>
      </c>
      <c r="J40" s="121" t="s">
        <v>37</v>
      </c>
      <c r="K40" s="121" t="s">
        <v>341</v>
      </c>
      <c r="L40" s="165" t="s">
        <v>703</v>
      </c>
      <c r="M40" s="165" t="s">
        <v>707</v>
      </c>
      <c r="N40" s="165" t="s">
        <v>678</v>
      </c>
    </row>
    <row r="41" spans="1:29" ht="92.4" x14ac:dyDescent="0.25">
      <c r="A41" s="121">
        <v>41</v>
      </c>
      <c r="B41" s="123" t="s">
        <v>493</v>
      </c>
      <c r="C41" s="123" t="s">
        <v>791</v>
      </c>
      <c r="D41" s="145">
        <v>39006</v>
      </c>
      <c r="E41" s="113" t="s">
        <v>491</v>
      </c>
      <c r="F41" s="208" t="s">
        <v>323</v>
      </c>
      <c r="G41" s="221">
        <v>45512</v>
      </c>
      <c r="H41" s="226">
        <f>'Ley 20123'!B2</f>
        <v>1</v>
      </c>
      <c r="I41" s="212" t="s">
        <v>12</v>
      </c>
      <c r="J41" s="124" t="s">
        <v>37</v>
      </c>
      <c r="K41" s="121" t="s">
        <v>341</v>
      </c>
      <c r="L41" s="165" t="s">
        <v>703</v>
      </c>
      <c r="M41" s="165" t="s">
        <v>867</v>
      </c>
      <c r="N41" s="165" t="s">
        <v>742</v>
      </c>
    </row>
    <row r="42" spans="1:29" ht="52.8" x14ac:dyDescent="0.25">
      <c r="A42" s="121">
        <v>42</v>
      </c>
      <c r="B42" s="123" t="s">
        <v>461</v>
      </c>
      <c r="C42" s="123" t="s">
        <v>690</v>
      </c>
      <c r="D42" s="145">
        <v>39100</v>
      </c>
      <c r="E42" s="113" t="s">
        <v>444</v>
      </c>
      <c r="F42" s="208" t="s">
        <v>323</v>
      </c>
      <c r="G42" s="221">
        <v>45512</v>
      </c>
      <c r="H42" s="226">
        <f>'DS 76'!B2</f>
        <v>1</v>
      </c>
      <c r="I42" s="212" t="s">
        <v>12</v>
      </c>
      <c r="J42" s="121" t="s">
        <v>37</v>
      </c>
      <c r="K42" s="121" t="s">
        <v>341</v>
      </c>
      <c r="L42" s="165" t="s">
        <v>703</v>
      </c>
      <c r="M42" s="165" t="s">
        <v>707</v>
      </c>
      <c r="N42" s="165" t="s">
        <v>742</v>
      </c>
    </row>
    <row r="43" spans="1:29" ht="52.8" x14ac:dyDescent="0.25">
      <c r="A43" s="121">
        <v>43</v>
      </c>
      <c r="B43" s="123" t="s">
        <v>484</v>
      </c>
      <c r="C43" s="123" t="s">
        <v>859</v>
      </c>
      <c r="D43" s="145">
        <v>41286</v>
      </c>
      <c r="E43" s="113" t="str">
        <f>'RES EX 3457'!B1</f>
        <v>APRUEBA GUÍA PARA LA SELECCIÓN Y CONTROL DE PROTECCIÓN OCULAR Y FACIAL, ELABORADA POR EL DEPARTAMENTO DE SALUD OCUPACIONAL</v>
      </c>
      <c r="F43" s="208" t="s">
        <v>323</v>
      </c>
      <c r="G43" s="221">
        <v>45512</v>
      </c>
      <c r="H43" s="226">
        <f>'RES EX 3457'!B2</f>
        <v>1</v>
      </c>
      <c r="I43" s="121" t="s">
        <v>12</v>
      </c>
      <c r="J43" s="121" t="s">
        <v>37</v>
      </c>
      <c r="K43" s="121" t="s">
        <v>511</v>
      </c>
      <c r="L43" s="165" t="s">
        <v>703</v>
      </c>
      <c r="M43" s="165" t="s">
        <v>707</v>
      </c>
      <c r="N43" s="165" t="s">
        <v>678</v>
      </c>
    </row>
    <row r="44" spans="1:29" ht="52.8" x14ac:dyDescent="0.25">
      <c r="A44" s="121">
        <v>44</v>
      </c>
      <c r="B44" s="123" t="s">
        <v>485</v>
      </c>
      <c r="C44" s="123" t="s">
        <v>686</v>
      </c>
      <c r="D44" s="145">
        <v>22419</v>
      </c>
      <c r="E44" s="113" t="str">
        <f>'DS 144'!B1</f>
        <v>DECRETO SUPREMO 144 / 1961, MINISTERIO DE SALUD, ESTABLECE NORMAS PARA EVITAR EMANACIONES O CONTAMINANTES ATMOSFERICOS DE CUALQUIERA NATURALEZA</v>
      </c>
      <c r="F44" s="208" t="s">
        <v>323</v>
      </c>
      <c r="G44" s="221">
        <v>45512</v>
      </c>
      <c r="H44" s="226">
        <f>'DS 144'!B2</f>
        <v>1</v>
      </c>
      <c r="I44" s="121" t="s">
        <v>12</v>
      </c>
      <c r="J44" s="121" t="s">
        <v>37</v>
      </c>
      <c r="K44" s="121" t="s">
        <v>511</v>
      </c>
      <c r="L44" s="165" t="s">
        <v>703</v>
      </c>
      <c r="M44" s="165" t="s">
        <v>707</v>
      </c>
      <c r="N44" s="165" t="s">
        <v>678</v>
      </c>
    </row>
    <row r="45" spans="1:29" ht="66" customHeight="1" x14ac:dyDescent="0.25">
      <c r="A45" s="121">
        <v>45</v>
      </c>
      <c r="B45" s="123" t="s">
        <v>486</v>
      </c>
      <c r="C45" s="123" t="s">
        <v>868</v>
      </c>
      <c r="D45" s="145">
        <v>36784</v>
      </c>
      <c r="E45" s="112" t="str">
        <f>'DS 103'!B1</f>
        <v>DECRETO SUPREMO 103, MINISTERIO DE TRANSPORTE Y TELECOMUNICACIONES, ESTABLECE NORMA DE EMISION DE HIDROCARBUROS NO METANICOS PARA VEHICULOS LIVIANOS Y MEDIANOS</v>
      </c>
      <c r="F45" s="123" t="s">
        <v>323</v>
      </c>
      <c r="G45" s="221">
        <v>45512</v>
      </c>
      <c r="H45" s="226">
        <f>'DS 103'!B2</f>
        <v>1</v>
      </c>
      <c r="I45" s="121" t="s">
        <v>12</v>
      </c>
      <c r="J45" s="121" t="s">
        <v>37</v>
      </c>
      <c r="K45" s="121" t="s">
        <v>511</v>
      </c>
      <c r="L45" s="165" t="s">
        <v>703</v>
      </c>
      <c r="M45" s="165" t="s">
        <v>707</v>
      </c>
      <c r="N45" s="165" t="s">
        <v>706</v>
      </c>
    </row>
    <row r="46" spans="1:29" ht="90.75" customHeight="1" x14ac:dyDescent="0.25">
      <c r="A46" s="121">
        <v>46</v>
      </c>
      <c r="B46" s="123" t="s">
        <v>487</v>
      </c>
      <c r="C46" s="123" t="s">
        <v>868</v>
      </c>
      <c r="D46" s="145">
        <v>39196</v>
      </c>
      <c r="E46" s="112" t="str">
        <f>'DS 149'!B1</f>
        <v>DECRETO SUPREMO 149 / 2007, MINISTERIO DE TRANSPORTE Y TELECUMUNICACIONES, ESTABLECE NORMA DE EMISION DE NO, HC Y CO PARA EL CONTROL DEL NOX EN VEHICULOS EN USO, DE ENCENDIDO POR CHISPA (CICLO OTTO), QUE CUMPLEN CON LAS NORMAS DE EMISION ESTABLECIDAS EN EL DS. Nº 211 DE 1991 Y DS. Nº 54, DE 1994</v>
      </c>
      <c r="F46" s="123" t="s">
        <v>323</v>
      </c>
      <c r="G46" s="221">
        <v>45512</v>
      </c>
      <c r="H46" s="226">
        <f>'DS 149'!B2</f>
        <v>1</v>
      </c>
      <c r="I46" s="121" t="s">
        <v>12</v>
      </c>
      <c r="J46" s="121" t="s">
        <v>37</v>
      </c>
      <c r="K46" s="121" t="s">
        <v>511</v>
      </c>
      <c r="L46" s="165" t="s">
        <v>869</v>
      </c>
      <c r="M46" s="165" t="s">
        <v>707</v>
      </c>
      <c r="N46" s="165" t="s">
        <v>706</v>
      </c>
    </row>
    <row r="47" spans="1:29" ht="39.6" x14ac:dyDescent="0.25">
      <c r="A47" s="121">
        <v>47</v>
      </c>
      <c r="B47" s="123" t="s">
        <v>507</v>
      </c>
      <c r="C47" s="123" t="s">
        <v>855</v>
      </c>
      <c r="D47" s="145">
        <v>34457</v>
      </c>
      <c r="E47" s="115" t="str">
        <f>'DS 54 MTT'!B1</f>
        <v>DECRETO SUPREMO 54 / 1994, MINISTERIO DE TRANSPORTE Y TELECUMUNICACIONES, ESTABLECE NORMAS DE EMISIÓN APLICABLES A VEHICULOS MOTORIZADOS MEDIANOS</v>
      </c>
      <c r="F47" s="123" t="s">
        <v>323</v>
      </c>
      <c r="G47" s="221">
        <v>45512</v>
      </c>
      <c r="H47" s="226">
        <f>'DS 54 MTT'!B2</f>
        <v>1</v>
      </c>
      <c r="I47" s="121" t="s">
        <v>12</v>
      </c>
      <c r="J47" s="121" t="s">
        <v>37</v>
      </c>
      <c r="K47" s="121" t="s">
        <v>511</v>
      </c>
      <c r="L47" s="165" t="s">
        <v>870</v>
      </c>
      <c r="M47" s="165" t="s">
        <v>707</v>
      </c>
      <c r="N47" s="165" t="s">
        <v>706</v>
      </c>
    </row>
    <row r="48" spans="1:29" ht="26.4" x14ac:dyDescent="0.25">
      <c r="A48" s="121">
        <v>48</v>
      </c>
      <c r="B48" s="123" t="s">
        <v>614</v>
      </c>
      <c r="C48" s="123" t="s">
        <v>789</v>
      </c>
      <c r="D48" s="145">
        <v>43732</v>
      </c>
      <c r="E48" s="112" t="str">
        <f>'NCh 2056'!B1</f>
        <v>NCh 2056, Extintores portátiles - Inspección, mantención y recarga - Requisitos generales Instalaciones fijas de extinción</v>
      </c>
      <c r="F48" s="123" t="s">
        <v>323</v>
      </c>
      <c r="G48" s="221">
        <v>45512</v>
      </c>
      <c r="H48" s="226">
        <f>'NCh 2056'!B2</f>
        <v>1</v>
      </c>
      <c r="I48" s="121" t="s">
        <v>12</v>
      </c>
      <c r="J48" s="121" t="s">
        <v>37</v>
      </c>
      <c r="K48" s="121" t="s">
        <v>511</v>
      </c>
      <c r="L48" s="165" t="s">
        <v>871</v>
      </c>
      <c r="M48" s="165" t="s">
        <v>707</v>
      </c>
      <c r="N48" s="165" t="s">
        <v>742</v>
      </c>
    </row>
    <row r="49" spans="1:14" ht="39.6" x14ac:dyDescent="0.25">
      <c r="A49" s="121">
        <v>49</v>
      </c>
      <c r="B49" s="123" t="s">
        <v>510</v>
      </c>
      <c r="C49" s="123" t="s">
        <v>692</v>
      </c>
      <c r="D49" s="145">
        <v>38946</v>
      </c>
      <c r="E49" s="112" t="str">
        <f>'RES 499'!B1</f>
        <v>RESOLUCIÓN N°499/2006, MINISTERIO DE SALUD. APRUEBA DOCUMENTO ELECTRONICO DE DECLARACIÓN DE RESIDUOS PELIGROSOS</v>
      </c>
      <c r="F49" s="123" t="s">
        <v>323</v>
      </c>
      <c r="G49" s="221">
        <v>45512</v>
      </c>
      <c r="H49" s="226">
        <f>'NCh 2056'!B2</f>
        <v>1</v>
      </c>
      <c r="I49" s="121" t="s">
        <v>12</v>
      </c>
      <c r="J49" s="121" t="s">
        <v>37</v>
      </c>
      <c r="K49" s="121" t="s">
        <v>341</v>
      </c>
      <c r="L49" s="165" t="s">
        <v>703</v>
      </c>
      <c r="M49" s="165" t="s">
        <v>707</v>
      </c>
      <c r="N49" s="165" t="s">
        <v>706</v>
      </c>
    </row>
    <row r="50" spans="1:14" ht="52.8" x14ac:dyDescent="0.25">
      <c r="A50" s="121">
        <v>50</v>
      </c>
      <c r="B50" s="123" t="s">
        <v>558</v>
      </c>
      <c r="C50" s="123" t="s">
        <v>692</v>
      </c>
      <c r="D50" s="145">
        <v>41023</v>
      </c>
      <c r="E50" s="117" t="str">
        <f>'Ley 20584'!B1</f>
        <v>LEY 20584 / 2012, MINISTERIO DE SALUD, REGULA LOS DERECHOS Y DEBERES QUE TIENEN LAS PERSONAS EN RELACION CON ACCIONES VINCULADAS A SU ATENCIÓN EN SALUD</v>
      </c>
      <c r="F50" s="123" t="s">
        <v>323</v>
      </c>
      <c r="G50" s="221">
        <v>45512</v>
      </c>
      <c r="H50" s="226">
        <f>'Ley 20584'!B2</f>
        <v>1</v>
      </c>
      <c r="I50" s="121" t="s">
        <v>12</v>
      </c>
      <c r="J50" s="121" t="s">
        <v>37</v>
      </c>
      <c r="K50" s="121" t="s">
        <v>341</v>
      </c>
      <c r="L50" s="165" t="s">
        <v>872</v>
      </c>
      <c r="M50" s="165" t="s">
        <v>707</v>
      </c>
      <c r="N50" s="165" t="s">
        <v>678</v>
      </c>
    </row>
    <row r="51" spans="1:14" ht="52.8" x14ac:dyDescent="0.25">
      <c r="A51" s="121">
        <v>51</v>
      </c>
      <c r="B51" s="123" t="s">
        <v>559</v>
      </c>
      <c r="C51" s="123" t="s">
        <v>873</v>
      </c>
      <c r="D51" s="145">
        <v>40149</v>
      </c>
      <c r="E51" s="133" t="str">
        <f>'Ley 20393'!B1</f>
        <v>LEY 20393 / 2016, MINISTERIO DE HACIENDA, ESTABLECE LA RESPONSABILIDAD PENAL DE LAS PERSONAS JURIDICAS EN LOS DELITOS DE LAVADOS DE ACTIVOS, FINANCIAMIENTO DEL TERRORISMO Y DELITOS DE COHECHO QUE INDICA</v>
      </c>
      <c r="F51" s="123" t="s">
        <v>323</v>
      </c>
      <c r="G51" s="221">
        <v>45512</v>
      </c>
      <c r="H51" s="226">
        <v>0.5</v>
      </c>
      <c r="I51" s="121" t="s">
        <v>285</v>
      </c>
      <c r="J51" s="121" t="s">
        <v>901</v>
      </c>
      <c r="K51" s="121" t="s">
        <v>361</v>
      </c>
      <c r="L51" s="165" t="s">
        <v>874</v>
      </c>
      <c r="M51" s="165" t="s">
        <v>707</v>
      </c>
      <c r="N51" s="165" t="s">
        <v>820</v>
      </c>
    </row>
    <row r="52" spans="1:14" ht="39.6" x14ac:dyDescent="0.25">
      <c r="A52" s="121">
        <v>52</v>
      </c>
      <c r="B52" s="123" t="s">
        <v>560</v>
      </c>
      <c r="C52" s="123" t="s">
        <v>687</v>
      </c>
      <c r="D52" s="145">
        <v>42895</v>
      </c>
      <c r="E52" s="117" t="str">
        <f>'Ley 21012'!B1</f>
        <v>LEY 21012 / 2017, MINISTERIO DE TRABAJO Y PREVISIÓN SOCIAL, GARANTIZA SEGURIDAD DE LOS TRABAJADORES EN SITUACIONES DE RIESGO Y EMERGENCIA</v>
      </c>
      <c r="F52" s="123" t="s">
        <v>323</v>
      </c>
      <c r="G52" s="221">
        <v>45512</v>
      </c>
      <c r="H52" s="226">
        <f>'Ley 21012'!B2</f>
        <v>1</v>
      </c>
      <c r="I52" s="121" t="s">
        <v>12</v>
      </c>
      <c r="J52" s="121" t="s">
        <v>37</v>
      </c>
      <c r="K52" s="121" t="s">
        <v>361</v>
      </c>
      <c r="L52" s="165" t="s">
        <v>703</v>
      </c>
      <c r="M52" s="165" t="s">
        <v>707</v>
      </c>
      <c r="N52" s="165" t="s">
        <v>678</v>
      </c>
    </row>
    <row r="53" spans="1:14" s="27" customFormat="1" ht="39.6" x14ac:dyDescent="0.25">
      <c r="A53" s="121">
        <v>53</v>
      </c>
      <c r="B53" s="208" t="s">
        <v>561</v>
      </c>
      <c r="C53" s="208" t="s">
        <v>875</v>
      </c>
      <c r="D53" s="209">
        <v>42115</v>
      </c>
      <c r="E53" s="133" t="str">
        <f>'Ley 20830'!B1</f>
        <v>LEY 20830 / 2015, MINISTERIO SECRETARIA GENERAL DE GOBIERNO, CREA EL ACUERDO DE UNIÓN CIVIL</v>
      </c>
      <c r="F53" s="208" t="s">
        <v>323</v>
      </c>
      <c r="G53" s="221">
        <v>45512</v>
      </c>
      <c r="H53" s="226">
        <f>'Ley 20830'!B2</f>
        <v>1</v>
      </c>
      <c r="I53" s="124" t="s">
        <v>12</v>
      </c>
      <c r="J53" s="124" t="s">
        <v>37</v>
      </c>
      <c r="K53" s="124" t="s">
        <v>341</v>
      </c>
      <c r="L53" s="155" t="s">
        <v>876</v>
      </c>
      <c r="M53" s="155" t="s">
        <v>707</v>
      </c>
      <c r="N53" s="155" t="s">
        <v>820</v>
      </c>
    </row>
    <row r="54" spans="1:14" ht="39.6" x14ac:dyDescent="0.25">
      <c r="A54" s="121">
        <v>54</v>
      </c>
      <c r="B54" s="123" t="s">
        <v>562</v>
      </c>
      <c r="C54" s="123" t="s">
        <v>791</v>
      </c>
      <c r="D54" s="145">
        <v>39983</v>
      </c>
      <c r="E54" s="117" t="str">
        <f>'Ley 20348'!B1</f>
        <v>LEY 20348 / 2009, MINISTERIO DEL TRABAJO Y PREVISIÓN SOCIAL; SUBSECRETARÍA DEL TRABAJO, RESGUARDA EL DERECHO A LA IGUALDAD EN LAS REMUNERACIONES</v>
      </c>
      <c r="F54" s="123" t="s">
        <v>323</v>
      </c>
      <c r="G54" s="221">
        <v>45512</v>
      </c>
      <c r="H54" s="226">
        <f>'Ley 20348'!B2</f>
        <v>1</v>
      </c>
      <c r="I54" s="121" t="s">
        <v>12</v>
      </c>
      <c r="J54" s="121" t="s">
        <v>37</v>
      </c>
      <c r="K54" s="121" t="s">
        <v>341</v>
      </c>
      <c r="L54" s="165" t="s">
        <v>703</v>
      </c>
      <c r="M54" s="165" t="s">
        <v>707</v>
      </c>
      <c r="N54" s="165" t="s">
        <v>820</v>
      </c>
    </row>
    <row r="55" spans="1:14" ht="39.6" x14ac:dyDescent="0.25">
      <c r="A55" s="121">
        <v>55</v>
      </c>
      <c r="B55" s="123" t="s">
        <v>563</v>
      </c>
      <c r="C55" s="123" t="s">
        <v>877</v>
      </c>
      <c r="D55" s="145">
        <v>42901</v>
      </c>
      <c r="E55" s="117" t="str">
        <f>'Ley 21015'!B1</f>
        <v>LEY 21015 / 2017, MINISTERIO DE DESARROLLO SOCIAL, INCENTIVA LA INCLUSIÓN DE PERSONAS CON DISCAPACIDAD AL MUNDO LABORAL</v>
      </c>
      <c r="F55" s="123" t="s">
        <v>323</v>
      </c>
      <c r="G55" s="221">
        <v>45512</v>
      </c>
      <c r="H55" s="226">
        <f>'Ley 21015'!B2</f>
        <v>1</v>
      </c>
      <c r="I55" s="121" t="s">
        <v>12</v>
      </c>
      <c r="J55" s="121" t="s">
        <v>37</v>
      </c>
      <c r="K55" s="121" t="s">
        <v>341</v>
      </c>
      <c r="L55" s="165" t="s">
        <v>703</v>
      </c>
      <c r="M55" s="165" t="s">
        <v>707</v>
      </c>
      <c r="N55" s="165" t="s">
        <v>820</v>
      </c>
    </row>
    <row r="56" spans="1:14" ht="39.6" x14ac:dyDescent="0.25">
      <c r="A56" s="121">
        <v>56</v>
      </c>
      <c r="B56" s="123" t="s">
        <v>564</v>
      </c>
      <c r="C56" s="123" t="s">
        <v>879</v>
      </c>
      <c r="D56" s="145">
        <v>40219</v>
      </c>
      <c r="E56" s="135" t="str">
        <f>'Ley 20422'!B1</f>
        <v>LEY 20422 / 2010, MINISTERIO DE PLANIFICACIÓN, ESTABLECE NORMAS SOBRE IGUALDAD DE OPORTUNIDADES E INCLUSIÓN SOCIAL DE PERSONAS CON DISCAPACIDAD</v>
      </c>
      <c r="F56" s="123" t="s">
        <v>323</v>
      </c>
      <c r="G56" s="221">
        <v>45512</v>
      </c>
      <c r="H56" s="226">
        <f>'Ley 20422'!B2</f>
        <v>1</v>
      </c>
      <c r="I56" s="121" t="s">
        <v>12</v>
      </c>
      <c r="J56" s="121" t="s">
        <v>37</v>
      </c>
      <c r="K56" s="121" t="s">
        <v>341</v>
      </c>
      <c r="L56" s="165" t="s">
        <v>881</v>
      </c>
      <c r="M56" s="165" t="s">
        <v>707</v>
      </c>
      <c r="N56" s="165" t="s">
        <v>820</v>
      </c>
    </row>
    <row r="57" spans="1:14" ht="39.6" x14ac:dyDescent="0.25">
      <c r="A57" s="121">
        <v>57</v>
      </c>
      <c r="B57" s="123" t="s">
        <v>565</v>
      </c>
      <c r="C57" s="123" t="s">
        <v>882</v>
      </c>
      <c r="D57" s="145">
        <v>34348</v>
      </c>
      <c r="E57" s="117" t="str">
        <f>'Ley 19284'!B1</f>
        <v>LEY 19284 / 1994, MINISTERIO DE PLANIFICACIÓN Y COOPERACIÓN, ESTABLECE NORMAS PARA LA PLENA INTEGRACION SOCIAL DE PERSONAS CON DISCAPACIDAD</v>
      </c>
      <c r="F57" s="123" t="s">
        <v>323</v>
      </c>
      <c r="G57" s="221">
        <v>45512</v>
      </c>
      <c r="H57" s="226">
        <f>'Ley 19284'!B2</f>
        <v>1</v>
      </c>
      <c r="I57" s="121" t="s">
        <v>12</v>
      </c>
      <c r="J57" s="121" t="s">
        <v>37</v>
      </c>
      <c r="K57" s="121" t="s">
        <v>341</v>
      </c>
      <c r="L57" s="165" t="s">
        <v>883</v>
      </c>
      <c r="M57" s="165" t="s">
        <v>707</v>
      </c>
      <c r="N57" s="165" t="s">
        <v>742</v>
      </c>
    </row>
    <row r="58" spans="1:14" ht="66" x14ac:dyDescent="0.25">
      <c r="A58" s="121">
        <v>58</v>
      </c>
      <c r="B58" s="123" t="s">
        <v>566</v>
      </c>
      <c r="C58" s="123" t="s">
        <v>791</v>
      </c>
      <c r="D58" s="145">
        <v>41838</v>
      </c>
      <c r="E58" s="117" t="str">
        <f>'Ley 20764'!B1</f>
        <v>LEY 20764 / 2014, MINISTERIO DEL TRABAJO Y PREVISIÓN SOCIAL, MODIFICA EL CÓDIGO DEL TRABAJO EN MATERIA DE PROTECCIÓN A LA MATERNIDAD, LA PATERNIDAD Y LA VIDA FAMILIAR Y ESTABLECE UN PERMISO POR MATRIMONIO DEL TRABAJADOR</v>
      </c>
      <c r="F58" s="123" t="s">
        <v>323</v>
      </c>
      <c r="G58" s="221">
        <v>45512</v>
      </c>
      <c r="H58" s="226">
        <f>'Ley 20764'!B2</f>
        <v>1</v>
      </c>
      <c r="I58" s="121" t="s">
        <v>12</v>
      </c>
      <c r="J58" s="121" t="s">
        <v>37</v>
      </c>
      <c r="K58" s="121" t="s">
        <v>341</v>
      </c>
      <c r="L58" s="165" t="s">
        <v>703</v>
      </c>
      <c r="M58" s="165" t="s">
        <v>707</v>
      </c>
      <c r="N58" s="165" t="s">
        <v>820</v>
      </c>
    </row>
    <row r="59" spans="1:14" s="27" customFormat="1" ht="52.8" x14ac:dyDescent="0.25">
      <c r="A59" s="121">
        <v>59</v>
      </c>
      <c r="B59" s="208" t="s">
        <v>567</v>
      </c>
      <c r="C59" s="208" t="s">
        <v>687</v>
      </c>
      <c r="D59" s="209">
        <v>43047</v>
      </c>
      <c r="E59" s="133" t="str">
        <f>'Ley 21042'!B1</f>
        <v>LEY 21042 / 2017, MINISTERIO DEL TRABAJO Y PREVISIÓN SOCIAL, APLICA AL TRABAJADOR QUE CELEBRA UN ACUERDO DE UNIÓN CIVIL EL PERMISO LABORAL QUE SE OTORGA A QUIEN CONTRAE MATRIMONIO</v>
      </c>
      <c r="F59" s="208" t="s">
        <v>323</v>
      </c>
      <c r="G59" s="221">
        <v>45512</v>
      </c>
      <c r="H59" s="226">
        <f>'Ley 21042'!B2</f>
        <v>1</v>
      </c>
      <c r="I59" s="124" t="s">
        <v>12</v>
      </c>
      <c r="J59" s="124" t="s">
        <v>37</v>
      </c>
      <c r="K59" s="124" t="s">
        <v>341</v>
      </c>
      <c r="L59" s="165" t="s">
        <v>703</v>
      </c>
      <c r="M59" s="155" t="s">
        <v>707</v>
      </c>
      <c r="N59" s="165" t="s">
        <v>820</v>
      </c>
    </row>
    <row r="60" spans="1:14" ht="26.4" x14ac:dyDescent="0.25">
      <c r="A60" s="121">
        <v>60</v>
      </c>
      <c r="B60" s="123" t="s">
        <v>934</v>
      </c>
      <c r="C60" s="123" t="s">
        <v>686</v>
      </c>
      <c r="D60" s="123"/>
      <c r="E60" s="117" t="s">
        <v>584</v>
      </c>
      <c r="F60" s="123" t="s">
        <v>353</v>
      </c>
      <c r="G60" s="221">
        <v>45512</v>
      </c>
      <c r="H60" s="226">
        <f>'NCh2245'!B2</f>
        <v>1</v>
      </c>
      <c r="I60" s="121" t="s">
        <v>285</v>
      </c>
      <c r="J60" s="121" t="s">
        <v>286</v>
      </c>
      <c r="K60" s="121" t="s">
        <v>511</v>
      </c>
      <c r="L60" s="196" t="s">
        <v>884</v>
      </c>
      <c r="M60" s="165" t="s">
        <v>707</v>
      </c>
      <c r="N60" s="165" t="s">
        <v>706</v>
      </c>
    </row>
    <row r="61" spans="1:14" ht="79.2" x14ac:dyDescent="0.25">
      <c r="A61" s="121">
        <v>61</v>
      </c>
      <c r="B61" s="123" t="s">
        <v>593</v>
      </c>
      <c r="C61" s="123" t="s">
        <v>687</v>
      </c>
      <c r="D61" s="145">
        <v>42906</v>
      </c>
      <c r="E61" s="117" t="str">
        <f>'Ley 21018'!B1</f>
        <v>CONFIERE COMPETENCIA A LOS TRIBUNALES LABORALES PARA CONOCER DE LAS CONTIENDAS EN QUE, LOS CAUSAHABIENTES DEL TRABAJADOR, BUSCAN HACER EFECTIVA LA RESPONSABILIDAD DEL EMPLEADOR, DERIVADA DE ACCIDENTES DEL TRABAJO O ENFERMEDADES PROFESIONALES</v>
      </c>
      <c r="F61" s="123" t="s">
        <v>323</v>
      </c>
      <c r="G61" s="221">
        <v>45512</v>
      </c>
      <c r="H61" s="226">
        <f>'Ley 21018'!B2</f>
        <v>1</v>
      </c>
      <c r="I61" s="121" t="s">
        <v>12</v>
      </c>
      <c r="J61" s="121" t="s">
        <v>37</v>
      </c>
      <c r="K61" s="121" t="s">
        <v>511</v>
      </c>
      <c r="L61" s="165" t="s">
        <v>703</v>
      </c>
      <c r="M61" s="165" t="s">
        <v>707</v>
      </c>
      <c r="N61" s="165" t="s">
        <v>820</v>
      </c>
    </row>
    <row r="62" spans="1:14" ht="26.4" x14ac:dyDescent="0.25">
      <c r="A62" s="121">
        <v>62</v>
      </c>
      <c r="B62" s="123" t="s">
        <v>944</v>
      </c>
      <c r="C62" s="123" t="s">
        <v>687</v>
      </c>
      <c r="D62" s="145">
        <v>43432</v>
      </c>
      <c r="E62" s="125" t="str">
        <f>'Ley 21122'!B1</f>
        <v>MODIFICA EL CÓDIGO DEL TRABAJO EN MATERIA DE CONTRATO DE TRABAJO POR OBRA O FAENA</v>
      </c>
      <c r="F62" s="123" t="s">
        <v>323</v>
      </c>
      <c r="G62" s="221">
        <v>45512</v>
      </c>
      <c r="H62" s="226">
        <f>'Ley 21122'!B2</f>
        <v>1</v>
      </c>
      <c r="I62" s="121" t="s">
        <v>12</v>
      </c>
      <c r="J62" s="121" t="s">
        <v>37</v>
      </c>
      <c r="K62" s="121" t="s">
        <v>511</v>
      </c>
      <c r="L62" s="165" t="s">
        <v>703</v>
      </c>
      <c r="M62" s="165" t="s">
        <v>707</v>
      </c>
      <c r="N62" s="165" t="s">
        <v>820</v>
      </c>
    </row>
    <row r="63" spans="1:14" ht="26.4" x14ac:dyDescent="0.25">
      <c r="A63" s="121">
        <v>63</v>
      </c>
      <c r="B63" s="123" t="s">
        <v>602</v>
      </c>
      <c r="C63" s="123" t="s">
        <v>686</v>
      </c>
      <c r="D63" s="145">
        <v>41108</v>
      </c>
      <c r="E63" s="125" t="str">
        <f>'NT 142'!B1</f>
        <v>NORMA TECNICA N° 142, NOTIFICACION ACCIDENTES GRAVES Y FATALES</v>
      </c>
      <c r="F63" s="123" t="s">
        <v>323</v>
      </c>
      <c r="G63" s="221">
        <v>45512</v>
      </c>
      <c r="H63" s="226">
        <f>'NT 142'!B2</f>
        <v>1</v>
      </c>
      <c r="I63" s="121" t="s">
        <v>12</v>
      </c>
      <c r="J63" s="121" t="s">
        <v>37</v>
      </c>
      <c r="K63" s="121" t="s">
        <v>511</v>
      </c>
      <c r="L63" s="196" t="s">
        <v>884</v>
      </c>
      <c r="M63" s="165" t="s">
        <v>707</v>
      </c>
      <c r="N63" s="165" t="s">
        <v>678</v>
      </c>
    </row>
    <row r="64" spans="1:14" ht="39.6" x14ac:dyDescent="0.25">
      <c r="A64" s="121">
        <v>64</v>
      </c>
      <c r="B64" s="123" t="s">
        <v>945</v>
      </c>
      <c r="C64" s="123" t="s">
        <v>689</v>
      </c>
      <c r="D64" s="145">
        <v>43924</v>
      </c>
      <c r="E64" s="146" t="str">
        <f>'Ley 21217'!B1</f>
        <v>Ley Nº 19.983, que regula la transferencia y otorga mérito ejecutivo a copia de la factura.</v>
      </c>
      <c r="F64" s="123" t="s">
        <v>323</v>
      </c>
      <c r="G64" s="221">
        <v>45512</v>
      </c>
      <c r="H64" s="230">
        <f>'Ley 21217'!B2</f>
        <v>1</v>
      </c>
      <c r="I64" s="121" t="s">
        <v>12</v>
      </c>
      <c r="J64" s="121" t="s">
        <v>37</v>
      </c>
      <c r="K64" s="121" t="s">
        <v>341</v>
      </c>
      <c r="L64" s="165" t="s">
        <v>887</v>
      </c>
      <c r="M64" s="165" t="s">
        <v>707</v>
      </c>
      <c r="N64" s="165" t="s">
        <v>820</v>
      </c>
    </row>
    <row r="65" spans="1:14" ht="26.4" x14ac:dyDescent="0.25">
      <c r="A65" s="121">
        <v>65</v>
      </c>
      <c r="B65" s="123" t="s">
        <v>617</v>
      </c>
      <c r="C65" s="123" t="s">
        <v>687</v>
      </c>
      <c r="D65" s="145">
        <v>43916</v>
      </c>
      <c r="E65" s="62" t="str">
        <f>'Ley 21220'!B1</f>
        <v>Ley Nº 21.220, Modifica el Código del Trabajo en materia de trabajo a distancia.</v>
      </c>
      <c r="F65" s="123" t="s">
        <v>354</v>
      </c>
      <c r="G65" s="221">
        <v>45512</v>
      </c>
      <c r="H65" s="230">
        <f>'Ley 21220'!B2</f>
        <v>1</v>
      </c>
      <c r="I65" s="121" t="s">
        <v>12</v>
      </c>
      <c r="J65" s="121" t="s">
        <v>37</v>
      </c>
      <c r="K65" s="121" t="s">
        <v>341</v>
      </c>
      <c r="L65" s="165" t="s">
        <v>703</v>
      </c>
      <c r="M65" s="165" t="s">
        <v>707</v>
      </c>
      <c r="N65" s="165" t="s">
        <v>706</v>
      </c>
    </row>
    <row r="66" spans="1:14" ht="39.6" x14ac:dyDescent="0.25">
      <c r="A66" s="121">
        <v>66</v>
      </c>
      <c r="B66" s="123" t="s">
        <v>621</v>
      </c>
      <c r="C66" s="123" t="s">
        <v>890</v>
      </c>
      <c r="D66" s="145">
        <v>43929</v>
      </c>
      <c r="E66" s="112" t="str">
        <f>'ORD 1389 007 DT'!B1</f>
        <v>Dictamen Ordinario Nº 1389/007 de la Dirección del Trabajo.</v>
      </c>
      <c r="F66" s="123" t="s">
        <v>323</v>
      </c>
      <c r="G66" s="221">
        <v>45512</v>
      </c>
      <c r="H66" s="230">
        <f>'ORD 1389 007 DT'!B2</f>
        <v>1</v>
      </c>
      <c r="I66" s="121" t="s">
        <v>12</v>
      </c>
      <c r="J66" s="121" t="s">
        <v>37</v>
      </c>
      <c r="K66" s="121" t="s">
        <v>341</v>
      </c>
      <c r="L66" s="165" t="s">
        <v>703</v>
      </c>
      <c r="M66" s="165" t="s">
        <v>707</v>
      </c>
      <c r="N66" s="165" t="s">
        <v>742</v>
      </c>
    </row>
    <row r="67" spans="1:14" ht="52.8" x14ac:dyDescent="0.25">
      <c r="A67" s="121">
        <v>67</v>
      </c>
      <c r="B67" s="123" t="s">
        <v>622</v>
      </c>
      <c r="C67" s="123" t="s">
        <v>860</v>
      </c>
      <c r="D67" s="145">
        <v>43887</v>
      </c>
      <c r="E67" s="112" t="str">
        <f>'RES EX 144'!B1</f>
        <v>Resolución Exenta 144, APRUEBA NORMA BÁSICA PARA LA IMPLEMENTACIÓN DE  MODIFICACIÓN AL REGLAMENTO DEL REGISTRO DE EMISIONES Y  TRANSFERENCIAS DE CONTAMINANTES, RETC</v>
      </c>
      <c r="F67" s="123" t="s">
        <v>323</v>
      </c>
      <c r="G67" s="221">
        <v>45512</v>
      </c>
      <c r="H67" s="230">
        <f>'RES EX 144'!B2</f>
        <v>1</v>
      </c>
      <c r="I67" s="121" t="s">
        <v>12</v>
      </c>
      <c r="J67" s="121" t="s">
        <v>37</v>
      </c>
      <c r="K67" s="121" t="s">
        <v>341</v>
      </c>
      <c r="L67" s="165" t="s">
        <v>703</v>
      </c>
      <c r="M67" s="165" t="s">
        <v>707</v>
      </c>
      <c r="N67" s="165" t="s">
        <v>706</v>
      </c>
    </row>
    <row r="68" spans="1:14" ht="66" x14ac:dyDescent="0.25">
      <c r="A68" s="121">
        <v>68</v>
      </c>
      <c r="B68" s="123" t="s">
        <v>656</v>
      </c>
      <c r="C68" s="123" t="s">
        <v>694</v>
      </c>
      <c r="D68" s="145">
        <v>44015</v>
      </c>
      <c r="E68" s="126" t="s">
        <v>695</v>
      </c>
      <c r="F68" s="123" t="s">
        <v>323</v>
      </c>
      <c r="G68" s="221">
        <v>45512</v>
      </c>
      <c r="H68" s="230">
        <v>1</v>
      </c>
      <c r="I68" s="121" t="s">
        <v>12</v>
      </c>
      <c r="J68" s="121" t="s">
        <v>37</v>
      </c>
      <c r="K68" s="121" t="s">
        <v>341</v>
      </c>
      <c r="L68" s="165" t="s">
        <v>703</v>
      </c>
      <c r="M68" s="165" t="s">
        <v>707</v>
      </c>
      <c r="N68" s="165" t="s">
        <v>742</v>
      </c>
    </row>
    <row r="69" spans="1:14" ht="52.8" x14ac:dyDescent="0.25">
      <c r="A69" s="121">
        <v>69</v>
      </c>
      <c r="B69" s="123" t="s">
        <v>903</v>
      </c>
      <c r="C69" s="123" t="s">
        <v>892</v>
      </c>
      <c r="D69" s="145">
        <v>44806</v>
      </c>
      <c r="E69" s="137" t="s">
        <v>905</v>
      </c>
      <c r="F69" s="123" t="s">
        <v>676</v>
      </c>
      <c r="G69" s="221">
        <v>45512</v>
      </c>
      <c r="H69" s="230">
        <v>1</v>
      </c>
      <c r="I69" s="121" t="s">
        <v>12</v>
      </c>
      <c r="J69" s="121" t="s">
        <v>37</v>
      </c>
      <c r="K69" s="121" t="s">
        <v>341</v>
      </c>
      <c r="L69" s="165" t="s">
        <v>906</v>
      </c>
      <c r="M69" s="165" t="s">
        <v>707</v>
      </c>
      <c r="N69" s="165" t="s">
        <v>893</v>
      </c>
    </row>
    <row r="70" spans="1:14" ht="26.4" x14ac:dyDescent="0.25">
      <c r="A70" s="121">
        <v>70</v>
      </c>
      <c r="B70" s="123" t="s">
        <v>921</v>
      </c>
      <c r="C70" s="123" t="s">
        <v>687</v>
      </c>
      <c r="D70" s="145">
        <v>45042</v>
      </c>
      <c r="E70" s="213" t="s">
        <v>913</v>
      </c>
      <c r="F70" s="123" t="s">
        <v>323</v>
      </c>
      <c r="G70" s="221">
        <v>45512</v>
      </c>
      <c r="H70" s="230">
        <v>1</v>
      </c>
      <c r="I70" s="121" t="s">
        <v>12</v>
      </c>
      <c r="J70" s="121" t="s">
        <v>37</v>
      </c>
      <c r="K70" s="121" t="s">
        <v>341</v>
      </c>
      <c r="L70" s="165" t="s">
        <v>914</v>
      </c>
      <c r="M70" s="165" t="s">
        <v>707</v>
      </c>
      <c r="N70" s="165" t="s">
        <v>742</v>
      </c>
    </row>
    <row r="71" spans="1:14" ht="66" x14ac:dyDescent="0.25">
      <c r="A71" s="121">
        <v>71</v>
      </c>
      <c r="B71" s="123" t="s">
        <v>922</v>
      </c>
      <c r="C71" s="123" t="s">
        <v>687</v>
      </c>
      <c r="D71" s="145">
        <v>45289</v>
      </c>
      <c r="E71" s="215" t="s">
        <v>919</v>
      </c>
      <c r="F71" s="123" t="s">
        <v>323</v>
      </c>
      <c r="G71" s="221">
        <v>45512</v>
      </c>
      <c r="H71" s="230">
        <v>1</v>
      </c>
      <c r="I71" s="121" t="s">
        <v>12</v>
      </c>
      <c r="J71" s="121" t="s">
        <v>37</v>
      </c>
      <c r="K71" s="121" t="s">
        <v>341</v>
      </c>
      <c r="L71" s="165" t="s">
        <v>914</v>
      </c>
      <c r="M71" s="165" t="s">
        <v>707</v>
      </c>
      <c r="N71" s="165" t="s">
        <v>742</v>
      </c>
    </row>
    <row r="72" spans="1:14" ht="52.8" x14ac:dyDescent="0.25">
      <c r="A72" s="121">
        <v>72</v>
      </c>
      <c r="B72" s="121" t="s">
        <v>923</v>
      </c>
      <c r="C72" s="123" t="s">
        <v>687</v>
      </c>
      <c r="D72" s="145">
        <v>45306</v>
      </c>
      <c r="E72" s="214" t="s">
        <v>920</v>
      </c>
      <c r="F72" s="123" t="s">
        <v>323</v>
      </c>
      <c r="G72" s="221">
        <v>45512</v>
      </c>
      <c r="H72" s="230">
        <v>1</v>
      </c>
      <c r="I72" s="121" t="s">
        <v>12</v>
      </c>
      <c r="J72" s="121" t="s">
        <v>37</v>
      </c>
      <c r="K72" s="121" t="s">
        <v>341</v>
      </c>
      <c r="L72" s="165" t="s">
        <v>914</v>
      </c>
      <c r="M72" s="165" t="s">
        <v>707</v>
      </c>
      <c r="N72" s="165" t="s">
        <v>742</v>
      </c>
    </row>
    <row r="73" spans="1:14" ht="52.8" x14ac:dyDescent="0.25">
      <c r="A73" s="121">
        <v>73</v>
      </c>
      <c r="B73" s="121" t="s">
        <v>924</v>
      </c>
      <c r="C73" s="123" t="s">
        <v>857</v>
      </c>
      <c r="D73" s="145">
        <v>40001</v>
      </c>
      <c r="E73" s="214" t="s">
        <v>925</v>
      </c>
      <c r="F73" s="123" t="s">
        <v>926</v>
      </c>
      <c r="G73" s="221">
        <v>45512</v>
      </c>
      <c r="H73" s="230">
        <v>1</v>
      </c>
      <c r="I73" s="121" t="s">
        <v>12</v>
      </c>
      <c r="J73" s="121" t="s">
        <v>37</v>
      </c>
      <c r="K73" s="121" t="s">
        <v>341</v>
      </c>
      <c r="L73" s="165" t="s">
        <v>914</v>
      </c>
      <c r="M73" s="165" t="s">
        <v>707</v>
      </c>
      <c r="N73" s="147" t="s">
        <v>839</v>
      </c>
    </row>
    <row r="74" spans="1:14" ht="52.8" x14ac:dyDescent="0.25">
      <c r="A74" s="121">
        <v>74</v>
      </c>
      <c r="B74" s="121" t="s">
        <v>664</v>
      </c>
      <c r="C74" s="123" t="s">
        <v>938</v>
      </c>
      <c r="D74" s="145">
        <v>45500</v>
      </c>
      <c r="E74" s="214" t="s">
        <v>939</v>
      </c>
      <c r="F74" s="123" t="s">
        <v>323</v>
      </c>
      <c r="G74" s="221">
        <v>45796</v>
      </c>
      <c r="H74" s="230">
        <v>0.9</v>
      </c>
      <c r="I74" s="121" t="s">
        <v>285</v>
      </c>
      <c r="J74" s="121" t="s">
        <v>901</v>
      </c>
      <c r="K74" s="121" t="s">
        <v>341</v>
      </c>
      <c r="L74" s="165" t="s">
        <v>914</v>
      </c>
      <c r="M74" s="165" t="s">
        <v>707</v>
      </c>
      <c r="N74" s="147" t="s">
        <v>678</v>
      </c>
    </row>
    <row r="75" spans="1:14" x14ac:dyDescent="0.25">
      <c r="E75" s="114"/>
    </row>
    <row r="76" spans="1:14" x14ac:dyDescent="0.25">
      <c r="E76" s="114"/>
    </row>
    <row r="77" spans="1:14" x14ac:dyDescent="0.25">
      <c r="E77" s="114"/>
    </row>
    <row r="78" spans="1:14" x14ac:dyDescent="0.25">
      <c r="E78" s="114"/>
    </row>
    <row r="79" spans="1:14" x14ac:dyDescent="0.25">
      <c r="E79" s="114"/>
    </row>
    <row r="80" spans="1:14" x14ac:dyDescent="0.25">
      <c r="E80" s="114"/>
    </row>
    <row r="81" spans="5:5" x14ac:dyDescent="0.25">
      <c r="E81" s="114"/>
    </row>
    <row r="82" spans="5:5" x14ac:dyDescent="0.25">
      <c r="E82" s="114"/>
    </row>
    <row r="83" spans="5:5" x14ac:dyDescent="0.25">
      <c r="E83" s="114"/>
    </row>
    <row r="84" spans="5:5" x14ac:dyDescent="0.25">
      <c r="E84" s="114"/>
    </row>
    <row r="85" spans="5:5" x14ac:dyDescent="0.25">
      <c r="E85" s="114"/>
    </row>
    <row r="86" spans="5:5" x14ac:dyDescent="0.25">
      <c r="E86" s="114"/>
    </row>
    <row r="87" spans="5:5" x14ac:dyDescent="0.25">
      <c r="E87" s="114"/>
    </row>
    <row r="88" spans="5:5" x14ac:dyDescent="0.25">
      <c r="E88" s="114"/>
    </row>
  </sheetData>
  <mergeCells count="2">
    <mergeCell ref="A1:K1"/>
    <mergeCell ref="L1:N1"/>
  </mergeCells>
  <dataValidations count="2">
    <dataValidation type="list" allowBlank="1" showInputMessage="1" showErrorMessage="1" sqref="I3:I41" xr:uid="{00000000-0002-0000-0100-000000000000}">
      <formula1>"SI, N/A"</formula1>
    </dataValidation>
    <dataValidation type="list" allowBlank="1" showInputMessage="1" showErrorMessage="1" sqref="J3:J41" xr:uid="{00000000-0002-0000-0100-000001000000}">
      <formula1>"En Proceso, Cerrado, Abierto, No Aplica"</formula1>
    </dataValidation>
  </dataValidations>
  <hyperlinks>
    <hyperlink ref="E3" location="'DS 100'!A1" display="'DS 100'!A1" xr:uid="{00000000-0004-0000-0100-000000000000}"/>
    <hyperlink ref="E22" location="'DS 458'!A1" display="DS 458" xr:uid="{00000000-0004-0000-0100-000003000000}"/>
    <hyperlink ref="E23" location="'DS 47'!A1" display="DS 47" xr:uid="{00000000-0004-0000-0100-000004000000}"/>
    <hyperlink ref="E24" location="DFL1!A1" display="DFL 1" xr:uid="{00000000-0004-0000-0100-000005000000}"/>
    <hyperlink ref="E21" location="'DS43'!A1" display="Ds 43 " xr:uid="{00000000-0004-0000-0100-000006000000}"/>
    <hyperlink ref="E4" location="'Ley 16,744'!A1" display="Ley 16.744" xr:uid="{00000000-0004-0000-0100-000007000000}"/>
    <hyperlink ref="E5" location="'DS148'!A1" display="DS148" xr:uid="{00000000-0004-0000-0100-000008000000}"/>
    <hyperlink ref="E25" location="'DFL 725 Codigo Sanitario'!A1" display="Código Sanitario" xr:uid="{00000000-0004-0000-0100-00000B000000}"/>
    <hyperlink ref="E6" location="'DS 594'!A1" display="DS 594" xr:uid="{00000000-0004-0000-0100-00000D000000}"/>
    <hyperlink ref="E10" location="'DS67'!A1" display="DS 67" xr:uid="{00000000-0004-0000-0100-000010000000}"/>
    <hyperlink ref="E11" location="'Ley 20949'!A1" display="'Ley 20949'!A1" xr:uid="{00000000-0004-0000-0100-000011000000}"/>
    <hyperlink ref="E13" location="NCH1411!A1" display="Nch 1411" xr:uid="{00000000-0004-0000-0100-000012000000}"/>
    <hyperlink ref="E14" location="'LEY 20005'!A1" display="Ley 20005" xr:uid="{00000000-0004-0000-0100-000013000000}"/>
    <hyperlink ref="E15" location="'LEY 20096'!A1" display="Ley 20096" xr:uid="{00000000-0004-0000-0100-000014000000}"/>
    <hyperlink ref="E16" location="'DS18'!A1" display="'DS18'!A1" xr:uid="{00000000-0004-0000-0100-000015000000}"/>
    <hyperlink ref="E17" location="'DS254'!A1" display="DS 254" xr:uid="{00000000-0004-0000-0100-000016000000}"/>
    <hyperlink ref="E18" location="'DS109'!A1" display="DS 109" xr:uid="{00000000-0004-0000-0100-000017000000}"/>
    <hyperlink ref="E19" location="LEY20105!A1" display="Ley 20105" xr:uid="{00000000-0004-0000-0100-000018000000}"/>
    <hyperlink ref="E20" location="LEY20047!A1" display="Ley 20047" xr:uid="{00000000-0004-0000-0100-000019000000}"/>
    <hyperlink ref="E26" location="'Ley 18490'!A1" display="Ley 18490" xr:uid="{00000000-0004-0000-0100-00001A000000}"/>
    <hyperlink ref="E29" location="'Decreto 55'!A1" display="Decreto 55" xr:uid="{00000000-0004-0000-0100-00001D000000}"/>
    <hyperlink ref="E30" location="'Ley 20160'!A1" display="'Ley 20160'!A1" xr:uid="{00000000-0004-0000-0100-00001E000000}"/>
    <hyperlink ref="E31" location="'Decreto 719'!A1" display="Decreto 719" xr:uid="{00000000-0004-0000-0100-00001F000000}"/>
    <hyperlink ref="E34" location="'RES EX 1448'!A1" display="'RES EX 1448'!A1" xr:uid="{00000000-0004-0000-0100-000020000000}"/>
    <hyperlink ref="E35" location="TMERT!A1" display="TMERT!A1" xr:uid="{00000000-0004-0000-0100-000021000000}"/>
    <hyperlink ref="E36" location="'DS 1 RECT'!A1" display="DS 1 APRUEBA REGLAMENTO DEL REGISTRO DE EMISIONES Y TRANSFERENCIAS DE CONTAMINANTES, RETC" xr:uid="{00000000-0004-0000-0100-000022000000}"/>
    <hyperlink ref="H26" location="'Ley 18490'!A1" display="Ley 18490" xr:uid="{00000000-0004-0000-0100-00002D000000}"/>
    <hyperlink ref="H27" location="'DS 601'!A1" display="DS 601" xr:uid="{00000000-0004-0000-0100-00002E000000}"/>
    <hyperlink ref="H28" location="'Decreto 238'!A1" display="Decreto 238" xr:uid="{00000000-0004-0000-0100-00002F000000}"/>
    <hyperlink ref="H29" location="'Decreto 55'!A1" display="Decreto 55" xr:uid="{00000000-0004-0000-0100-000030000000}"/>
    <hyperlink ref="H30" location="'Let 19996'!A1" display="Ley 19996" xr:uid="{00000000-0004-0000-0100-000031000000}"/>
    <hyperlink ref="H31" location="'Decreto 719'!A1" display="Decreto 719" xr:uid="{00000000-0004-0000-0100-000032000000}"/>
    <hyperlink ref="H34" location="Psicosocial!A1" display="Protocolo de vigilancia riesgos psicosoccial en el trabajo" xr:uid="{00000000-0004-0000-0100-000033000000}"/>
    <hyperlink ref="H35" location="RESUMEN!A1" display="Protocolo de vigilancia para trabajadores expuestos a factor de risgos y trastornos musculos esqueleticos de extremidades superiores relacionadas con el trabajo" xr:uid="{00000000-0004-0000-0100-000034000000}"/>
    <hyperlink ref="H36" location="'DS 1 RECT'!A1" display="DS 1 APRUEBA REGLAMENTO DEL REGISTRO DE EMISIONES Y TRANSFERENCIAS DE CONTAMINANTES, RETC" xr:uid="{00000000-0004-0000-0100-000035000000}"/>
    <hyperlink ref="E37" location="'ORD MUN 46'!A1" display="'ORD MUN 46'!A1" xr:uid="{00000000-0004-0000-0100-000036000000}"/>
    <hyperlink ref="E38" location="'ORD MUN 56'!A1" display="'ORD MUN 56'!A1" xr:uid="{00000000-0004-0000-0100-000037000000}"/>
    <hyperlink ref="E39" location="'Plan Regulador'!A1" display="'Plan Regulador'!A1" xr:uid="{00000000-0004-0000-0100-000038000000}"/>
    <hyperlink ref="E40" location="'DS 206'!A1" display="'DS 206'!A1" xr:uid="{00000000-0004-0000-0100-000039000000}"/>
    <hyperlink ref="E42" location="'DS 76'!A1" display="'DS 76'!A1" xr:uid="{00000000-0004-0000-0100-00003A000000}"/>
    <hyperlink ref="E43" location="'RES EX 3457'!A1" display="'RES EX 3457'!A1" xr:uid="{00000000-0004-0000-0100-00003B000000}"/>
    <hyperlink ref="E44" location="'DS 144'!A1" display="'DS 144'!A1" xr:uid="{00000000-0004-0000-0100-00003C000000}"/>
    <hyperlink ref="E45" location="'DS 103'!A1" display="'DS 103'!A1" xr:uid="{00000000-0004-0000-0100-00003D000000}"/>
    <hyperlink ref="E46" location="'DS 149'!A1" display="'DS 149'!A1" xr:uid="{00000000-0004-0000-0100-00003E000000}"/>
    <hyperlink ref="E48" location="'NCh 2056'!A1" display="'NCh 2056'!A1" xr:uid="{00000000-0004-0000-0100-00003F000000}"/>
    <hyperlink ref="E41" location="'Ley 20123'!A1" display="LEY 20123, MINISTERIO DEL TRABAJO Y PREVISIÓN SOCIAL, REGULA EL TRABAJO EN REGIMEN DE SUBCONTRATACIÓN, EL FUNCIONAMIENTO DE LAS EMPRESAS DE SERVICIOS TRANSITORIOS Y EL CONTRATO DE SERVICIOS TRANSITORIOS" xr:uid="{00000000-0004-0000-0100-000040000000}"/>
    <hyperlink ref="E33" location="'RES EX 218'!A1" display="'RES EX 218'!A1" xr:uid="{00000000-0004-0000-0100-000041000000}"/>
    <hyperlink ref="E12" location="'DS 63'!A1" display="'DS 63'!A1" xr:uid="{00000000-0004-0000-0100-000042000000}"/>
    <hyperlink ref="E32" location="'Ley 20435'!A1" display="PROPIEDAD INTELCTUAL" xr:uid="{00000000-0004-0000-0100-000043000000}"/>
    <hyperlink ref="E47" location="'DS 54 MTT'!A1" display="'DS 54 MTT'!A1" xr:uid="{00000000-0004-0000-0100-000044000000}"/>
    <hyperlink ref="E49" location="'RES 499'!A1" display="'RES 499'!A1" xr:uid="{00000000-0004-0000-0100-000045000000}"/>
    <hyperlink ref="E50" location="'Ley 20584'!A1" display="'Ley 20584'!A1" xr:uid="{00000000-0004-0000-0100-000046000000}"/>
    <hyperlink ref="E51" location="'Ley 20393'!A1" display="'Ley 20393'!A1" xr:uid="{00000000-0004-0000-0100-000047000000}"/>
    <hyperlink ref="E52" location="'Ley 21012'!A1" display="'Ley 21012'!A1" xr:uid="{00000000-0004-0000-0100-000048000000}"/>
    <hyperlink ref="E53" location="'Ley 20830'!A1" display="'Ley 20830'!A1" xr:uid="{00000000-0004-0000-0100-000049000000}"/>
    <hyperlink ref="E54" location="'Ley 20348'!A1" display="'Ley 20348'!A1" xr:uid="{00000000-0004-0000-0100-00004A000000}"/>
    <hyperlink ref="E55" location="'Ley 21015'!A1" display="'Ley 21015'!A1" xr:uid="{00000000-0004-0000-0100-00004B000000}"/>
    <hyperlink ref="E56" location="'Ley 20422'!A1" display="'Ley 20422'!A1" xr:uid="{00000000-0004-0000-0100-00004C000000}"/>
    <hyperlink ref="E57" location="'Ley 19284'!A1" display="'Ley 19284'!A1" xr:uid="{00000000-0004-0000-0100-00004D000000}"/>
    <hyperlink ref="E58" location="'Ley 20764'!A1" display="'Ley 20764'!A1" xr:uid="{00000000-0004-0000-0100-00004E000000}"/>
    <hyperlink ref="E59" location="'Ley 21042'!A1" display="'Ley 21042'!A1" xr:uid="{00000000-0004-0000-0100-00004F000000}"/>
    <hyperlink ref="E60" location="'NCh2245'!A1" display="HOJA DE DATOS DE SEGURIDAD PARA PRODUCTOS QUIMICOS - CONTENIDO Y ORDEN DE LAS SECCIONES" xr:uid="{D0280C26-C451-4F1B-B786-670E474B8BF5}"/>
    <hyperlink ref="E61" location="'Ley 21018'!A1" display="'Ley 21018'!A1" xr:uid="{162F9CF8-305C-4A10-9B3A-E399D6500F29}"/>
    <hyperlink ref="E62" location="'Ley 21122'!A1" display="'Ley 21122'!A1" xr:uid="{EE868E58-285B-411F-B18E-AD17AC8FD132}"/>
    <hyperlink ref="E63" location="'NT 142'!A1" display="'NT 142'!A1" xr:uid="{0EF9916A-EB08-4C31-9CC0-4CAA379AE1AE}"/>
    <hyperlink ref="E64" location="'Ley 21217'!B1" display="'Ley 21217'!B1" xr:uid="{74657BFE-5E1E-4E75-BEFB-79BFDD623F60}"/>
    <hyperlink ref="E65" location="'Ley 21220'!B1" display="'Ley 21220'!B1" xr:uid="{E5B27E10-A495-4D9E-A1DC-212F0B6DEA7B}"/>
    <hyperlink ref="E66" location="'ORD 1389 007 DT'!B1" display="'ORD 1389 007 DT'!B1" xr:uid="{8BE7EBCF-C600-4F00-B74C-110F766E2D70}"/>
    <hyperlink ref="E67" location="'RES EX 144'!A1" display="'RES EX 144'!A1" xr:uid="{79A9C361-9707-4967-BA3A-BF112C9F4C63}"/>
    <hyperlink ref="H68" location="'DS 18'!A1" display="'DS 18'!A1" xr:uid="{40847594-CA20-43AF-A98B-793F197CF62F}"/>
    <hyperlink ref="E68" location="'DS 18 2020'!A1" display="'DS 18 2020'!A1" xr:uid="{A9247DCB-8E21-4B45-B4CF-C68CCCE94A8D}"/>
    <hyperlink ref="E8" location="'REx N° 1930'!A1" display="DEJA SIN EFECTO NORMA CHILENA 2190 DEL AÑO 1993 &quot;SUSTANCIAS PELIGROSAS&quot; Y APRUEBA LA NCH. N° 2190 DE 28.ENE.2019" xr:uid="{696A279C-A6E6-46DC-AA1A-5EB9044E9FB9}"/>
    <hyperlink ref="E9" location="'D 44'!A1" display="APRUEBA REGLAMENTO QUE ESTABLECE REQUISITOS DE SEGURIDAD Y ROTULACIÓN DE EXTINTORES PORTÁTILES" xr:uid="{8B961B58-A1A2-4378-A1BF-0C3ED0382123}"/>
    <hyperlink ref="E27" location="'DS 601'!A1" display="ESTABLECE NORMA DE EMISION PARA LA REGULACION DE CONTAMINANTES ASOCIADOS A LAS DESCARGAS DE RESIDUOS INDUSTRIALES LIQUIDOS A SISTEMAS DE ALCANTARILLADO" xr:uid="{98D9E76E-02DE-4127-883E-3A085DA16E25}"/>
    <hyperlink ref="E69" location="'RES EX 1854'!A1" display="Resolución Exenta 1854, DECLARA AREA DE PLAGA Y DE RIESGO DE PLAGA DIDYMO EN CUERPOS DE AGUA QUE SEÑALA" xr:uid="{C6592CA5-2DFA-4A25-980D-D89EC490676B}"/>
    <hyperlink ref="E28" location="'Decreto 238'!A1" display="Decreto 238" xr:uid="{00000000-0004-0000-0100-00001C000000}"/>
    <hyperlink ref="E7" location="RESUMEN!A1" display="DFL 1 FIJA TEXTO REFUNDIDO, COORDINADO Y SISTEMATIZADO DE LA LEY DE TRÁNSITO" xr:uid="{7B4C8907-0504-49C0-8DD7-C1DB4979B059}"/>
    <hyperlink ref="E70" location="'Ley 21561'!A1" display="MODIFICA EL CODIGO DEL TRABAJO CON EL OBJETO DE REDUCIR LA JORNADA LABORAL" xr:uid="{04C12394-2A07-4668-9143-386B78F3A004}"/>
    <hyperlink ref="E71" location="'Ley 21645'!A1" display="MODIFICA EL TÍTULO II DEL LIBRO II DEL CÓDIGO DEL TRABAJO &quot;DE LA PROTECCIÓN A LA MATERNIDAD, PATERNIDAD Y VIDA FAMILIAR&quot; Y REGULA UN RÉGIMEN DE TRABAJO A DISTANCIA Y TELETRABAJO EN LAS CONDICIONES QUE INDICA" xr:uid="{D6529098-4335-4A28-9A5C-FE212D8CDD42}"/>
    <hyperlink ref="E72" location="'Ley 21643'!A1" display="MODIFICA EL CÓDIGO DEL TRABAJO Y OTROS CUERPOS LEGALES, EN MATERIA DE PREVENCIÓN, INVESTIGACIÓN Y SANCIÓN DEL ACOSO LABORAL, SEXUAL O DE VIOLENCIA EN EL TRABAJO" xr:uid="{E1602CC2-E0A6-47AD-B976-DAE5D81C5A7B}"/>
    <hyperlink ref="E73" location="'Decreto 160'!A1" display="APRUEBA REGLAMENTO DE SEGURIDAD PARA LAS INSTALACIONES Y OPERACIONES DE PRODUCCIÓN Y REFINACIÓN, TRANSPORTE, ALMACENAMIENTO, DISTRIBUCIÓN Y ABASTECIMIENTO DE COMBUSTIBLES LÍQUIDOS" xr:uid="{541C73D1-58CC-40F0-92C5-9E978ACDD1EE}"/>
    <hyperlink ref="E74" location="'Decreto 44'!A1" display="APRUEBA NUEVO REGLAMENTO SOBRE GESTION PREVENTIVA DE LOS RIESGOS LABORALES PARA UN ENTORNO DE TRABAJO SEGURO Y SALUDABLE" xr:uid="{E45BE285-F08B-4CFD-AF08-4A481DE427CC}"/>
  </hyperlinks>
  <printOptions horizontalCentered="1" verticalCentered="1"/>
  <pageMargins left="0.19685039370078741" right="0.11811023622047245" top="0" bottom="0" header="0" footer="0"/>
  <pageSetup scale="28" fitToHeight="0" orientation="landscape" r:id="rId1"/>
  <colBreaks count="1" manualBreakCount="1">
    <brk id="10" max="1048575" man="1"/>
  </col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FCA15-40A0-47AD-92FA-9957FBB728C0}">
  <dimension ref="A1:I4"/>
  <sheetViews>
    <sheetView workbookViewId="0">
      <selection activeCell="H9" sqref="H9"/>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52.2" customHeight="1" x14ac:dyDescent="0.25">
      <c r="A1" s="32" t="s">
        <v>33</v>
      </c>
      <c r="B1" s="217" t="s">
        <v>939</v>
      </c>
      <c r="C1" s="239" t="s">
        <v>38</v>
      </c>
      <c r="D1" s="239"/>
      <c r="E1" s="239"/>
      <c r="F1" s="239"/>
      <c r="G1" s="239"/>
      <c r="H1" s="240"/>
    </row>
    <row r="2" spans="1:9" ht="15" customHeight="1" x14ac:dyDescent="0.25">
      <c r="A2" s="32" t="s">
        <v>35</v>
      </c>
      <c r="B2" s="31">
        <v>0.9</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ht="111.6" customHeight="1" x14ac:dyDescent="0.25">
      <c r="A4" s="4" t="s">
        <v>267</v>
      </c>
      <c r="B4" s="137" t="s">
        <v>940</v>
      </c>
      <c r="C4" s="13" t="s">
        <v>341</v>
      </c>
      <c r="D4" s="30">
        <v>0.9</v>
      </c>
      <c r="E4" s="120"/>
      <c r="F4" s="120" t="s">
        <v>13</v>
      </c>
      <c r="G4" s="68"/>
      <c r="H4" s="218" t="s">
        <v>942</v>
      </c>
    </row>
  </sheetData>
  <mergeCells count="1">
    <mergeCell ref="C1:H2"/>
  </mergeCells>
  <hyperlinks>
    <hyperlink ref="B1" location="RESUMEN!A1" display="APRUEBA NUEVO REGLAMENTO SOBRE GESTION PREVENTIVA DE LOS RIESGOS LABORALES PARA UN ENTORNO DE TRABAJO SEGURO Y SALUDABLE" xr:uid="{0935C419-5171-4EA0-AB95-87BD41742939}"/>
    <hyperlink ref="B4" location="RESUMEN!A1" display="Decreto 44: MINISTERIO DEL TRABAJO Y PREVISIÓN SOCIAL, SUBSECRETARIA DE PREVISIÓN SOCIAL" xr:uid="{8D7F9039-3D11-46AB-9D31-5FBCB1F3391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2F23E-9B49-4D65-9FC0-F95D3CE74D60}">
  <dimension ref="A1:I4"/>
  <sheetViews>
    <sheetView workbookViewId="0">
      <selection activeCell="B25" sqref="B25"/>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52.2" customHeight="1" x14ac:dyDescent="0.25">
      <c r="A1" s="32" t="s">
        <v>33</v>
      </c>
      <c r="B1" s="217" t="s">
        <v>925</v>
      </c>
      <c r="C1" s="239" t="s">
        <v>38</v>
      </c>
      <c r="D1" s="239"/>
      <c r="E1" s="239"/>
      <c r="F1" s="239"/>
      <c r="G1" s="239"/>
      <c r="H1" s="240"/>
    </row>
    <row r="2" spans="1:9" ht="15" customHeight="1" x14ac:dyDescent="0.25">
      <c r="A2" s="32" t="s">
        <v>35</v>
      </c>
      <c r="B2" s="31">
        <f>AVERAGE(D4:G4)</f>
        <v>1</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ht="67.2" customHeight="1" x14ac:dyDescent="0.25">
      <c r="A4" s="4" t="s">
        <v>267</v>
      </c>
      <c r="B4" s="216" t="s">
        <v>932</v>
      </c>
      <c r="C4" s="13" t="s">
        <v>341</v>
      </c>
      <c r="D4" s="30">
        <v>1</v>
      </c>
      <c r="E4" s="120"/>
      <c r="F4" s="120" t="s">
        <v>13</v>
      </c>
      <c r="G4" s="68"/>
      <c r="H4" s="13" t="s">
        <v>931</v>
      </c>
    </row>
  </sheetData>
  <mergeCells count="1">
    <mergeCell ref="C1:H2"/>
  </mergeCells>
  <hyperlinks>
    <hyperlink ref="B1" location="RESUMEN!A1" display="APRUEBA REGLAMENTO DE SEGURIDAD PARA LAS INSTALACIONES Y OPERACIONES DE PRODUCCIÓN Y REFINACIÓN, TRANSPORTE, ALMACENAMIENTO, DISTRIBUCIÓN Y ABASTECIMIENTO DE COMBUSTIBLES LÍQUIDOS" xr:uid="{424BCBA9-F461-47CE-8D40-CC9D5BC13B8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58BAA-DCBF-4F02-B6D1-7067A170754F}">
  <dimension ref="A1:I4"/>
  <sheetViews>
    <sheetView workbookViewId="0">
      <selection activeCell="H4" sqref="H4"/>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52.2" customHeight="1" x14ac:dyDescent="0.25">
      <c r="A1" s="32" t="s">
        <v>33</v>
      </c>
      <c r="B1" s="217" t="s">
        <v>928</v>
      </c>
      <c r="C1" s="239" t="s">
        <v>38</v>
      </c>
      <c r="D1" s="239"/>
      <c r="E1" s="239"/>
      <c r="F1" s="239"/>
      <c r="G1" s="239"/>
      <c r="H1" s="240"/>
    </row>
    <row r="2" spans="1:9" ht="15" customHeight="1" x14ac:dyDescent="0.25">
      <c r="A2" s="32" t="s">
        <v>35</v>
      </c>
      <c r="B2" s="31">
        <f>AVERAGE(D4:G4)</f>
        <v>1</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ht="27.6" x14ac:dyDescent="0.25">
      <c r="A4" s="4" t="s">
        <v>267</v>
      </c>
      <c r="B4" s="216" t="s">
        <v>929</v>
      </c>
      <c r="C4" s="13" t="s">
        <v>341</v>
      </c>
      <c r="D4" s="30">
        <v>1</v>
      </c>
      <c r="E4" s="120"/>
      <c r="F4" s="120" t="s">
        <v>13</v>
      </c>
      <c r="G4" s="68"/>
      <c r="H4" s="13" t="s">
        <v>930</v>
      </c>
    </row>
  </sheetData>
  <mergeCells count="1">
    <mergeCell ref="C1:H2"/>
  </mergeCells>
  <hyperlinks>
    <hyperlink ref="B1" location="RESUMEN!A1" display="MODIFICA EL TÍTULO II DEL LIBRO II DEL CÓDIGO DEL TRABAJO &quot;DE LA PROTECCIÓN A LA MATERNIDAD, PATERNIDAD Y VIDA FAMILIAR&quot; Y REGULA UN RÉGIMEN DE TRABAJO A DISTANCIA Y TELETRABAJO EN LAS CONDICIONES QUE INDICA" xr:uid="{79AF782C-49D8-48A3-A047-48C050051C4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5BBCE-94C3-4FA7-80AF-BB5237024800}">
  <dimension ref="A1:I4"/>
  <sheetViews>
    <sheetView tabSelected="1" workbookViewId="0">
      <selection activeCell="B22" sqref="B22"/>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52.2" customHeight="1" x14ac:dyDescent="0.25">
      <c r="A1" s="32" t="s">
        <v>33</v>
      </c>
      <c r="B1" s="217" t="s">
        <v>919</v>
      </c>
      <c r="C1" s="239" t="s">
        <v>38</v>
      </c>
      <c r="D1" s="239"/>
      <c r="E1" s="239"/>
      <c r="F1" s="239"/>
      <c r="G1" s="239"/>
      <c r="H1" s="240"/>
    </row>
    <row r="2" spans="1:9" ht="15" customHeight="1" x14ac:dyDescent="0.25">
      <c r="A2" s="32" t="s">
        <v>35</v>
      </c>
      <c r="B2" s="31">
        <f>AVERAGE(D4:G4)</f>
        <v>1</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ht="41.4" x14ac:dyDescent="0.25">
      <c r="A4" s="4" t="s">
        <v>267</v>
      </c>
      <c r="B4" s="216" t="s">
        <v>927</v>
      </c>
      <c r="C4" s="13" t="s">
        <v>341</v>
      </c>
      <c r="D4" s="30">
        <v>1</v>
      </c>
      <c r="E4" s="120"/>
      <c r="F4" s="120" t="s">
        <v>13</v>
      </c>
      <c r="G4" s="68"/>
      <c r="H4" s="13" t="s">
        <v>933</v>
      </c>
    </row>
  </sheetData>
  <mergeCells count="1">
    <mergeCell ref="C1:H2"/>
  </mergeCells>
  <hyperlinks>
    <hyperlink ref="B1" location="RESUMEN!A1" display="MODIFICA EL TÍTULO II DEL LIBRO II DEL CÓDIGO DEL TRABAJO &quot;DE LA PROTECCIÓN A LA MATERNIDAD, PATERNIDAD Y VIDA FAMILIAR&quot; Y REGULA UN RÉGIMEN DE TRABAJO A DISTANCIA Y TELETRABAJO EN LAS CONDICIONES QUE INDICA" xr:uid="{742C64BF-2528-42F2-974A-13F37FF11B3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F9291-1304-44DC-B3B2-1CDE950A5E48}">
  <dimension ref="A1:I4"/>
  <sheetViews>
    <sheetView workbookViewId="0">
      <selection activeCell="B1" sqref="B1"/>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36.75" customHeight="1" x14ac:dyDescent="0.25">
      <c r="A1" s="32" t="s">
        <v>33</v>
      </c>
      <c r="B1" s="137" t="s">
        <v>913</v>
      </c>
      <c r="C1" s="239" t="s">
        <v>38</v>
      </c>
      <c r="D1" s="239"/>
      <c r="E1" s="239"/>
      <c r="F1" s="239"/>
      <c r="G1" s="239"/>
      <c r="H1" s="240"/>
    </row>
    <row r="2" spans="1:9" ht="15" customHeight="1" x14ac:dyDescent="0.25">
      <c r="A2" s="32" t="s">
        <v>35</v>
      </c>
      <c r="B2" s="31">
        <f>AVERAGE(D4:G4)</f>
        <v>1</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ht="27.6" x14ac:dyDescent="0.25">
      <c r="A4" s="4" t="s">
        <v>267</v>
      </c>
      <c r="B4" s="137" t="s">
        <v>915</v>
      </c>
      <c r="C4" s="13" t="s">
        <v>341</v>
      </c>
      <c r="D4" s="30">
        <v>1</v>
      </c>
      <c r="E4" s="120"/>
      <c r="F4" s="120" t="s">
        <v>13</v>
      </c>
      <c r="G4" s="68"/>
      <c r="H4" s="13" t="s">
        <v>916</v>
      </c>
    </row>
  </sheetData>
  <mergeCells count="1">
    <mergeCell ref="C1:H2"/>
  </mergeCells>
  <hyperlinks>
    <hyperlink ref="B1" location="RESUMEN!A1" display="MODIFICA EL CODIGO DEL TRABAJO CON EL OBJETO DE REDUCIR LA JORNADA LABORAL" xr:uid="{7C29D3CE-ABD4-4B71-9E1A-938868E61DF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D1554-59BA-4E30-894F-84FDDDB42634}">
  <dimension ref="A1:I4"/>
  <sheetViews>
    <sheetView workbookViewId="0">
      <selection activeCell="C18" sqref="C18"/>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36.75" customHeight="1" x14ac:dyDescent="0.25">
      <c r="A1" s="32" t="s">
        <v>33</v>
      </c>
      <c r="B1" s="130" t="s">
        <v>625</v>
      </c>
      <c r="C1" s="239" t="s">
        <v>38</v>
      </c>
      <c r="D1" s="239"/>
      <c r="E1" s="239"/>
      <c r="F1" s="239"/>
      <c r="G1" s="239"/>
      <c r="H1" s="240"/>
    </row>
    <row r="2" spans="1:9" ht="15" customHeight="1" x14ac:dyDescent="0.25">
      <c r="A2" s="32" t="s">
        <v>35</v>
      </c>
      <c r="B2" s="31">
        <f>AVERAGE(D4:G4)</f>
        <v>1</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ht="41.4" x14ac:dyDescent="0.25">
      <c r="A4" s="4" t="s">
        <v>267</v>
      </c>
      <c r="B4" s="5" t="s">
        <v>626</v>
      </c>
      <c r="C4" s="13" t="s">
        <v>341</v>
      </c>
      <c r="D4" s="30">
        <v>1</v>
      </c>
      <c r="E4" s="120"/>
      <c r="F4" s="120" t="s">
        <v>13</v>
      </c>
      <c r="G4" s="68"/>
      <c r="H4" s="13" t="s">
        <v>623</v>
      </c>
    </row>
  </sheetData>
  <mergeCells count="1">
    <mergeCell ref="C1:H2"/>
  </mergeCells>
  <hyperlinks>
    <hyperlink ref="B1" location="RESUMEN!A1" display="Ley Nº 21.217, que otorga mérito ejecutivo a copia de la factura." xr:uid="{8AFA6B7E-5304-4F71-A486-BB0545EE3C9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7A5A9-497E-42D1-B84C-9D74E427A9D3}">
  <dimension ref="A1:I4"/>
  <sheetViews>
    <sheetView workbookViewId="0">
      <selection activeCell="B1" sqref="B1"/>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36.75" customHeight="1" x14ac:dyDescent="0.25">
      <c r="A1" s="32" t="s">
        <v>33</v>
      </c>
      <c r="B1" s="129" t="s">
        <v>619</v>
      </c>
      <c r="C1" s="239" t="s">
        <v>38</v>
      </c>
      <c r="D1" s="239"/>
      <c r="E1" s="239"/>
      <c r="F1" s="239"/>
      <c r="G1" s="239"/>
      <c r="H1" s="240"/>
    </row>
    <row r="2" spans="1:9" ht="15" customHeight="1" x14ac:dyDescent="0.25">
      <c r="A2" s="32" t="s">
        <v>35</v>
      </c>
      <c r="B2" s="31">
        <f>AVERAGE(D4:G4)</f>
        <v>1</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x14ac:dyDescent="0.25">
      <c r="A4" s="4" t="s">
        <v>267</v>
      </c>
      <c r="B4" s="5" t="s">
        <v>620</v>
      </c>
      <c r="C4" s="13" t="s">
        <v>341</v>
      </c>
      <c r="D4" s="30">
        <v>1</v>
      </c>
      <c r="E4" s="120"/>
      <c r="F4" s="120" t="s">
        <v>13</v>
      </c>
      <c r="G4" s="68"/>
      <c r="H4" s="13" t="s">
        <v>618</v>
      </c>
    </row>
  </sheetData>
  <mergeCells count="1">
    <mergeCell ref="C1:H2"/>
  </mergeCells>
  <hyperlinks>
    <hyperlink ref="B1" location="RESUMEN!A1" display="Ley Nº 21.217, que otorga mérito ejecutivo a copia de la factura." xr:uid="{744994E5-5D62-40D9-B369-8F2A99B1CEB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E305B-5023-4B7A-9542-14FEE6CD3AF6}">
  <dimension ref="A1:I4"/>
  <sheetViews>
    <sheetView workbookViewId="0">
      <selection activeCell="B1" sqref="B1"/>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36.75" customHeight="1" x14ac:dyDescent="0.25">
      <c r="A1" s="32" t="s">
        <v>33</v>
      </c>
      <c r="B1" s="129" t="s">
        <v>886</v>
      </c>
      <c r="C1" s="239" t="s">
        <v>38</v>
      </c>
      <c r="D1" s="239"/>
      <c r="E1" s="239"/>
      <c r="F1" s="239"/>
      <c r="G1" s="239"/>
      <c r="H1" s="240"/>
    </row>
    <row r="2" spans="1:9" ht="15" customHeight="1" x14ac:dyDescent="0.25">
      <c r="A2" s="32" t="s">
        <v>35</v>
      </c>
      <c r="B2" s="31">
        <f>AVERAGE(D4:G4)</f>
        <v>1</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ht="41.4" x14ac:dyDescent="0.25">
      <c r="A4" s="4" t="s">
        <v>267</v>
      </c>
      <c r="B4" s="5" t="s">
        <v>885</v>
      </c>
      <c r="C4" s="13" t="s">
        <v>341</v>
      </c>
      <c r="D4" s="30">
        <v>1</v>
      </c>
      <c r="E4" s="120"/>
      <c r="F4" s="120" t="s">
        <v>13</v>
      </c>
      <c r="G4" s="68"/>
      <c r="H4" s="13" t="s">
        <v>616</v>
      </c>
    </row>
  </sheetData>
  <mergeCells count="1">
    <mergeCell ref="C1:H2"/>
  </mergeCells>
  <hyperlinks>
    <hyperlink ref="B1" location="RESUMEN!A1" display="Ley Nº 21.217, que otorga mérito ejecutivo a copia de la factura." xr:uid="{26BC41B5-6CD6-4073-880C-91EDF59CE24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AE56A-4F9E-46D7-A711-C21AF13FB8C8}">
  <dimension ref="A1:I4"/>
  <sheetViews>
    <sheetView topLeftCell="A2" workbookViewId="0">
      <selection activeCell="B1" sqref="B1"/>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36.75" customHeight="1" x14ac:dyDescent="0.25">
      <c r="A1" s="32" t="s">
        <v>33</v>
      </c>
      <c r="B1" s="36" t="s">
        <v>889</v>
      </c>
      <c r="C1" s="239" t="s">
        <v>38</v>
      </c>
      <c r="D1" s="239"/>
      <c r="E1" s="239"/>
      <c r="F1" s="239"/>
      <c r="G1" s="239"/>
      <c r="H1" s="240"/>
    </row>
    <row r="2" spans="1:9" ht="15" customHeight="1" x14ac:dyDescent="0.25">
      <c r="A2" s="32" t="s">
        <v>35</v>
      </c>
      <c r="B2" s="31">
        <f>AVERAGE(D4:G4)</f>
        <v>1</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ht="41.4" x14ac:dyDescent="0.25">
      <c r="A4" s="4" t="s">
        <v>267</v>
      </c>
      <c r="B4" s="5" t="s">
        <v>888</v>
      </c>
      <c r="C4" s="13" t="s">
        <v>341</v>
      </c>
      <c r="D4" s="30">
        <v>1</v>
      </c>
      <c r="E4" s="120"/>
      <c r="F4" s="120" t="s">
        <v>13</v>
      </c>
      <c r="G4" s="68"/>
      <c r="H4" s="13" t="s">
        <v>616</v>
      </c>
    </row>
  </sheetData>
  <mergeCells count="1">
    <mergeCell ref="C1:H2"/>
  </mergeCells>
  <hyperlinks>
    <hyperlink ref="B1" location="RESUMEN!A1" display="HOJA DE DATOS DE SEGURIDAD PARA PRODUCTOS QUIMICOS - CONTENIDO Y ORDEN DE LAS SECCIONES" xr:uid="{016F9B8F-B491-4AD8-83B6-3C8B3E20BAF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3BA23-C37A-4C63-8A82-64513E808667}">
  <dimension ref="A1:I4"/>
  <sheetViews>
    <sheetView workbookViewId="0">
      <selection activeCell="B1" sqref="B1"/>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36.75" customHeight="1" x14ac:dyDescent="0.25">
      <c r="A1" s="32" t="s">
        <v>33</v>
      </c>
      <c r="B1" s="36" t="s">
        <v>594</v>
      </c>
      <c r="C1" s="239" t="s">
        <v>38</v>
      </c>
      <c r="D1" s="239"/>
      <c r="E1" s="239"/>
      <c r="F1" s="239"/>
      <c r="G1" s="239"/>
      <c r="H1" s="240"/>
    </row>
    <row r="2" spans="1:9" ht="15" customHeight="1" x14ac:dyDescent="0.25">
      <c r="A2" s="32" t="s">
        <v>35</v>
      </c>
      <c r="B2" s="31">
        <f>AVERAGE(D4:G4)</f>
        <v>1</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x14ac:dyDescent="0.25">
      <c r="A4" s="4" t="s">
        <v>267</v>
      </c>
      <c r="B4" s="5" t="s">
        <v>595</v>
      </c>
      <c r="C4" s="13" t="s">
        <v>631</v>
      </c>
      <c r="D4" s="30">
        <v>1</v>
      </c>
      <c r="E4" s="120"/>
      <c r="F4" s="120" t="s">
        <v>13</v>
      </c>
      <c r="G4" s="68"/>
      <c r="H4" s="13" t="s">
        <v>596</v>
      </c>
    </row>
  </sheetData>
  <mergeCells count="1">
    <mergeCell ref="C1:H2"/>
  </mergeCells>
  <hyperlinks>
    <hyperlink ref="B1" location="RESUMEN!A1" display="HOJA DE DATOS DE SEGURIDAD PARA PRODUCTOS QUIMICOS - CONTENIDO Y ORDEN DE LAS SECCIONES" xr:uid="{FFA973B9-F43D-424E-A545-8CC24616FAD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4A3C7-5EDB-432C-B405-8EA1145ABC83}">
  <dimension ref="A1:H4"/>
  <sheetViews>
    <sheetView topLeftCell="B1" workbookViewId="0">
      <selection activeCell="B1" sqref="B1"/>
    </sheetView>
  </sheetViews>
  <sheetFormatPr baseColWidth="10" defaultRowHeight="13.2" x14ac:dyDescent="0.25"/>
  <cols>
    <col min="1" max="1" width="16.88671875" bestFit="1" customWidth="1"/>
    <col min="2" max="2" width="69.33203125" customWidth="1"/>
    <col min="4" max="4" width="7" bestFit="1" customWidth="1"/>
    <col min="5" max="5" width="6" bestFit="1" customWidth="1"/>
    <col min="6" max="6" width="9.6640625" bestFit="1" customWidth="1"/>
    <col min="7" max="7" width="4.33203125" bestFit="1" customWidth="1"/>
    <col min="8" max="8" width="11.109375" bestFit="1" customWidth="1"/>
  </cols>
  <sheetData>
    <row r="1" spans="1:8" ht="66" x14ac:dyDescent="0.25">
      <c r="A1" s="32" t="s">
        <v>33</v>
      </c>
      <c r="B1" s="36" t="s">
        <v>588</v>
      </c>
      <c r="C1" s="239" t="s">
        <v>38</v>
      </c>
      <c r="D1" s="239"/>
      <c r="E1" s="239"/>
      <c r="F1" s="239"/>
      <c r="G1" s="239"/>
      <c r="H1" s="240"/>
    </row>
    <row r="2" spans="1:8" ht="13.8" x14ac:dyDescent="0.25">
      <c r="A2" s="32" t="s">
        <v>35</v>
      </c>
      <c r="B2" s="31">
        <f>AVERAGE(D4:G4)</f>
        <v>1</v>
      </c>
      <c r="C2" s="241"/>
      <c r="D2" s="241"/>
      <c r="E2" s="241"/>
      <c r="F2" s="241"/>
      <c r="G2" s="241"/>
      <c r="H2" s="242"/>
    </row>
    <row r="3" spans="1:8" ht="69" x14ac:dyDescent="0.25">
      <c r="A3" s="33" t="s">
        <v>25</v>
      </c>
      <c r="B3" s="33" t="s">
        <v>26</v>
      </c>
      <c r="C3" s="33" t="s">
        <v>19</v>
      </c>
      <c r="D3" s="33" t="s">
        <v>27</v>
      </c>
      <c r="E3" s="33" t="s">
        <v>36</v>
      </c>
      <c r="F3" s="33" t="s">
        <v>28</v>
      </c>
      <c r="G3" s="33" t="s">
        <v>12</v>
      </c>
      <c r="H3" s="33" t="s">
        <v>296</v>
      </c>
    </row>
    <row r="4" spans="1:8" ht="110.4" x14ac:dyDescent="0.25">
      <c r="A4" s="4" t="s">
        <v>589</v>
      </c>
      <c r="B4" s="5" t="s">
        <v>590</v>
      </c>
      <c r="C4" s="13" t="s">
        <v>591</v>
      </c>
      <c r="D4" s="30">
        <v>1</v>
      </c>
      <c r="E4" s="120"/>
      <c r="F4" s="120" t="s">
        <v>13</v>
      </c>
      <c r="G4" s="68"/>
      <c r="H4" s="13" t="s">
        <v>592</v>
      </c>
    </row>
  </sheetData>
  <mergeCells count="1">
    <mergeCell ref="C1:H2"/>
  </mergeCells>
  <hyperlinks>
    <hyperlink ref="B1" location="RESUMEN!A1" display="HOJA DE DATOS DE SEGURIDAD PARA PRODUCTOS QUIMICOS - CONTENIDO Y ORDEN DE LAS SECCIONES" xr:uid="{7731EB28-8446-417D-9BE3-73B88862417B}"/>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CF9E5-EA51-4AD7-8A2A-A6EEBE832F47}">
  <dimension ref="A1:I4"/>
  <sheetViews>
    <sheetView workbookViewId="0">
      <selection activeCell="B1" sqref="B1"/>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36.75" customHeight="1" x14ac:dyDescent="0.25">
      <c r="A1" s="32" t="s">
        <v>33</v>
      </c>
      <c r="B1" s="36" t="s">
        <v>584</v>
      </c>
      <c r="C1" s="239" t="s">
        <v>38</v>
      </c>
      <c r="D1" s="239"/>
      <c r="E1" s="239"/>
      <c r="F1" s="239"/>
      <c r="G1" s="239"/>
      <c r="H1" s="240"/>
    </row>
    <row r="2" spans="1:9" ht="15" customHeight="1" x14ac:dyDescent="0.25">
      <c r="A2" s="32" t="s">
        <v>35</v>
      </c>
      <c r="B2" s="31">
        <f>AVERAGE(D4:G4)</f>
        <v>1</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ht="27.6" x14ac:dyDescent="0.25">
      <c r="A4" s="4" t="s">
        <v>267</v>
      </c>
      <c r="B4" s="5" t="s">
        <v>585</v>
      </c>
      <c r="C4" s="13" t="s">
        <v>361</v>
      </c>
      <c r="D4" s="30">
        <v>1</v>
      </c>
      <c r="E4" s="120"/>
      <c r="F4" s="120" t="s">
        <v>13</v>
      </c>
      <c r="G4" s="68"/>
      <c r="H4" s="13" t="s">
        <v>586</v>
      </c>
    </row>
  </sheetData>
  <mergeCells count="1">
    <mergeCell ref="C1:H2"/>
  </mergeCells>
  <hyperlinks>
    <hyperlink ref="B1" location="RESUMEN!A1" display="HOJA DE DATOS DE SEGURIDAD PARA PRODUCTOS QUIMICOS - CONTENIDO Y ORDEN DE LAS SECCIONES" xr:uid="{61A66212-3886-4EF4-82AA-5538F886FA52}"/>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sheetPr>
  <dimension ref="A1:I6"/>
  <sheetViews>
    <sheetView showGridLines="0" zoomScale="88" zoomScaleNormal="88" workbookViewId="0">
      <selection activeCell="H17" sqref="H17"/>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36.75" customHeight="1" x14ac:dyDescent="0.25">
      <c r="A1" s="32" t="s">
        <v>33</v>
      </c>
      <c r="B1" s="36" t="s">
        <v>498</v>
      </c>
      <c r="C1" s="239" t="s">
        <v>38</v>
      </c>
      <c r="D1" s="239"/>
      <c r="E1" s="239"/>
      <c r="F1" s="239"/>
      <c r="G1" s="239"/>
      <c r="H1" s="240"/>
      <c r="I1" s="243"/>
    </row>
    <row r="2" spans="1:9" ht="15" customHeight="1" x14ac:dyDescent="0.25">
      <c r="A2" s="32" t="s">
        <v>35</v>
      </c>
      <c r="B2" s="31">
        <f>AVERAGE(D4,D5,D6)</f>
        <v>1</v>
      </c>
      <c r="C2" s="241"/>
      <c r="D2" s="241"/>
      <c r="E2" s="241"/>
      <c r="F2" s="241"/>
      <c r="G2" s="241"/>
      <c r="H2" s="242"/>
      <c r="I2" s="243"/>
    </row>
    <row r="3" spans="1:9" ht="30.75" customHeight="1" x14ac:dyDescent="0.25">
      <c r="A3" s="33" t="s">
        <v>25</v>
      </c>
      <c r="B3" s="33" t="s">
        <v>26</v>
      </c>
      <c r="C3" s="33" t="s">
        <v>19</v>
      </c>
      <c r="D3" s="33" t="s">
        <v>27</v>
      </c>
      <c r="E3" s="33" t="s">
        <v>36</v>
      </c>
      <c r="F3" s="33" t="s">
        <v>28</v>
      </c>
      <c r="G3" s="33" t="s">
        <v>12</v>
      </c>
      <c r="H3" s="33" t="s">
        <v>296</v>
      </c>
      <c r="I3" s="75"/>
    </row>
    <row r="4" spans="1:9" ht="55.2" x14ac:dyDescent="0.25">
      <c r="A4" s="4" t="s">
        <v>29</v>
      </c>
      <c r="B4" s="5" t="s">
        <v>32</v>
      </c>
      <c r="C4" s="13" t="s">
        <v>357</v>
      </c>
      <c r="D4" s="30">
        <v>1</v>
      </c>
      <c r="E4" s="3"/>
      <c r="F4" s="3" t="s">
        <v>13</v>
      </c>
      <c r="G4" s="4"/>
      <c r="H4" s="13" t="s">
        <v>359</v>
      </c>
    </row>
    <row r="5" spans="1:9" ht="82.8" x14ac:dyDescent="0.25">
      <c r="A5" s="4" t="s">
        <v>29</v>
      </c>
      <c r="B5" s="13" t="s">
        <v>30</v>
      </c>
      <c r="C5" s="13" t="s">
        <v>358</v>
      </c>
      <c r="D5" s="29">
        <v>1</v>
      </c>
      <c r="E5" s="10"/>
      <c r="F5" s="10"/>
      <c r="G5" s="10"/>
      <c r="H5" s="13" t="s">
        <v>359</v>
      </c>
    </row>
    <row r="6" spans="1:9" ht="60.75" customHeight="1" x14ac:dyDescent="0.25">
      <c r="A6" s="4" t="s">
        <v>29</v>
      </c>
      <c r="B6" s="13" t="s">
        <v>31</v>
      </c>
      <c r="C6" s="13" t="s">
        <v>305</v>
      </c>
      <c r="D6" s="29">
        <v>1</v>
      </c>
      <c r="E6" s="10"/>
      <c r="F6" s="10"/>
      <c r="G6" s="10"/>
      <c r="H6" s="13" t="s">
        <v>359</v>
      </c>
    </row>
  </sheetData>
  <mergeCells count="2">
    <mergeCell ref="C1:H2"/>
    <mergeCell ref="I1:I2"/>
  </mergeCells>
  <hyperlinks>
    <hyperlink ref="B1" location="RESUMEN!A1" display="Constitución Política de la República" xr:uid="{00000000-0004-0000-02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sheetPr>
  <dimension ref="A1:H16"/>
  <sheetViews>
    <sheetView showGridLines="0" topLeftCell="A6" zoomScaleNormal="100" workbookViewId="0">
      <selection activeCell="B3" sqref="B3"/>
    </sheetView>
  </sheetViews>
  <sheetFormatPr baseColWidth="10" defaultColWidth="11.44140625" defaultRowHeight="13.2" x14ac:dyDescent="0.25"/>
  <cols>
    <col min="1" max="1" width="24.88671875" style="17" bestFit="1" customWidth="1"/>
    <col min="2" max="2" width="94.88671875" style="17" customWidth="1"/>
    <col min="3" max="3" width="30.109375" style="17" customWidth="1"/>
    <col min="4" max="4" width="30.6640625" style="17" customWidth="1"/>
    <col min="5" max="7" width="11.44140625" style="17"/>
    <col min="8" max="8" width="20.44140625" style="17" bestFit="1" customWidth="1"/>
    <col min="9" max="16384" width="11.44140625" style="17"/>
  </cols>
  <sheetData>
    <row r="1" spans="1:8" ht="12.75" customHeight="1" x14ac:dyDescent="0.25">
      <c r="A1" s="32" t="s">
        <v>33</v>
      </c>
      <c r="B1" s="34" t="s">
        <v>193</v>
      </c>
      <c r="C1" s="244" t="s">
        <v>38</v>
      </c>
      <c r="D1" s="245"/>
      <c r="E1" s="245"/>
      <c r="F1" s="245"/>
      <c r="G1" s="245"/>
      <c r="H1" s="246"/>
    </row>
    <row r="2" spans="1:8" ht="13.8" x14ac:dyDescent="0.25">
      <c r="A2" s="32" t="s">
        <v>35</v>
      </c>
      <c r="B2" s="52">
        <f>AVERAGE(D4:G16)</f>
        <v>1</v>
      </c>
      <c r="C2" s="247"/>
      <c r="D2" s="248"/>
      <c r="E2" s="248"/>
      <c r="F2" s="248"/>
      <c r="G2" s="248"/>
      <c r="H2" s="249"/>
    </row>
    <row r="3" spans="1:8" ht="90" customHeight="1" x14ac:dyDescent="0.25">
      <c r="A3" s="37" t="s">
        <v>25</v>
      </c>
      <c r="B3" s="37" t="s">
        <v>26</v>
      </c>
      <c r="C3" s="33" t="s">
        <v>19</v>
      </c>
      <c r="D3" s="33" t="s">
        <v>27</v>
      </c>
      <c r="E3" s="33" t="s">
        <v>36</v>
      </c>
      <c r="F3" s="33" t="s">
        <v>28</v>
      </c>
      <c r="G3" s="33" t="s">
        <v>12</v>
      </c>
      <c r="H3" s="33" t="s">
        <v>296</v>
      </c>
    </row>
    <row r="4" spans="1:8" ht="144" customHeight="1" x14ac:dyDescent="0.25">
      <c r="A4" s="4"/>
      <c r="B4" s="19" t="s">
        <v>918</v>
      </c>
      <c r="C4" s="4" t="s">
        <v>306</v>
      </c>
      <c r="D4" s="68">
        <v>1</v>
      </c>
      <c r="E4" s="4"/>
      <c r="F4" s="4"/>
      <c r="G4" s="4"/>
      <c r="H4" s="4" t="s">
        <v>392</v>
      </c>
    </row>
    <row r="5" spans="1:8" ht="106.5" customHeight="1" x14ac:dyDescent="0.25">
      <c r="A5" s="4" t="s">
        <v>196</v>
      </c>
      <c r="B5" s="39" t="s">
        <v>203</v>
      </c>
      <c r="C5" s="4" t="s">
        <v>397</v>
      </c>
      <c r="D5" s="68">
        <v>1</v>
      </c>
      <c r="E5" s="4"/>
      <c r="F5" s="4"/>
      <c r="G5" s="4"/>
      <c r="H5" s="4" t="s">
        <v>388</v>
      </c>
    </row>
    <row r="6" spans="1:8" ht="130.5" customHeight="1" x14ac:dyDescent="0.25">
      <c r="A6" s="4" t="s">
        <v>197</v>
      </c>
      <c r="B6" s="39" t="s">
        <v>198</v>
      </c>
      <c r="C6" s="4" t="s">
        <v>398</v>
      </c>
      <c r="D6" s="68">
        <v>1</v>
      </c>
      <c r="E6" s="4"/>
      <c r="F6" s="4"/>
      <c r="G6" s="4"/>
      <c r="H6" s="4" t="s">
        <v>648</v>
      </c>
    </row>
    <row r="7" spans="1:8" ht="62.25" customHeight="1" x14ac:dyDescent="0.25">
      <c r="A7" s="4" t="s">
        <v>895</v>
      </c>
      <c r="B7" s="5" t="s">
        <v>199</v>
      </c>
      <c r="C7" s="5" t="s">
        <v>399</v>
      </c>
      <c r="D7" s="68">
        <v>1</v>
      </c>
      <c r="E7" s="4"/>
      <c r="F7" s="4"/>
      <c r="G7" s="4"/>
      <c r="H7" s="4" t="s">
        <v>400</v>
      </c>
    </row>
    <row r="8" spans="1:8" ht="303.60000000000002" x14ac:dyDescent="0.25">
      <c r="A8" s="4" t="s">
        <v>200</v>
      </c>
      <c r="B8" s="39" t="s">
        <v>204</v>
      </c>
      <c r="C8" s="4" t="s">
        <v>306</v>
      </c>
      <c r="D8" s="30">
        <v>1</v>
      </c>
      <c r="E8" s="4"/>
      <c r="F8" s="4"/>
      <c r="G8" s="4"/>
      <c r="H8" s="13" t="s">
        <v>401</v>
      </c>
    </row>
    <row r="9" spans="1:8" s="1" customFormat="1" ht="69" x14ac:dyDescent="0.25">
      <c r="A9" s="4" t="s">
        <v>195</v>
      </c>
      <c r="B9" s="48" t="s">
        <v>194</v>
      </c>
      <c r="C9" s="4" t="s">
        <v>402</v>
      </c>
      <c r="D9" s="22">
        <v>1</v>
      </c>
      <c r="E9" s="15"/>
      <c r="F9" s="15"/>
      <c r="G9" s="15"/>
      <c r="H9" s="13" t="s">
        <v>360</v>
      </c>
    </row>
    <row r="10" spans="1:8" ht="156" customHeight="1" x14ac:dyDescent="0.25">
      <c r="A10" s="15" t="s">
        <v>202</v>
      </c>
      <c r="B10" s="39" t="s">
        <v>201</v>
      </c>
      <c r="C10" s="4" t="s">
        <v>403</v>
      </c>
      <c r="D10" s="22">
        <v>1</v>
      </c>
      <c r="E10" s="15"/>
      <c r="F10" s="15"/>
      <c r="G10" s="15"/>
      <c r="H10" s="13" t="s">
        <v>404</v>
      </c>
    </row>
    <row r="11" spans="1:8" ht="93.75" customHeight="1" x14ac:dyDescent="0.25">
      <c r="A11" s="15" t="s">
        <v>206</v>
      </c>
      <c r="B11" s="39" t="s">
        <v>205</v>
      </c>
      <c r="C11" s="89" t="s">
        <v>307</v>
      </c>
      <c r="D11" s="79">
        <v>1</v>
      </c>
      <c r="E11" s="26"/>
      <c r="F11" s="26"/>
      <c r="G11" s="26"/>
      <c r="H11" s="13" t="s">
        <v>649</v>
      </c>
    </row>
    <row r="12" spans="1:8" s="90" customFormat="1" ht="55.2" x14ac:dyDescent="0.25">
      <c r="A12" s="26" t="s">
        <v>208</v>
      </c>
      <c r="B12" s="88" t="s">
        <v>207</v>
      </c>
      <c r="C12" s="89" t="s">
        <v>405</v>
      </c>
      <c r="D12" s="79">
        <v>1</v>
      </c>
      <c r="E12" s="26"/>
      <c r="F12" s="26"/>
      <c r="G12" s="91" t="s">
        <v>265</v>
      </c>
      <c r="H12" s="13" t="s">
        <v>406</v>
      </c>
    </row>
    <row r="13" spans="1:8" s="90" customFormat="1" ht="102" customHeight="1" x14ac:dyDescent="0.25">
      <c r="A13" s="26" t="s">
        <v>210</v>
      </c>
      <c r="B13" s="88" t="s">
        <v>209</v>
      </c>
      <c r="C13" s="4" t="s">
        <v>407</v>
      </c>
      <c r="D13" s="79">
        <v>1</v>
      </c>
      <c r="E13" s="15"/>
      <c r="F13" s="15"/>
      <c r="G13" s="72" t="s">
        <v>265</v>
      </c>
      <c r="H13" s="13" t="s">
        <v>408</v>
      </c>
    </row>
    <row r="14" spans="1:8" ht="276" x14ac:dyDescent="0.25">
      <c r="A14" s="15" t="s">
        <v>211</v>
      </c>
      <c r="B14" s="39" t="s">
        <v>212</v>
      </c>
      <c r="C14" s="4" t="s">
        <v>409</v>
      </c>
      <c r="D14" s="79">
        <v>1</v>
      </c>
      <c r="E14" s="26"/>
      <c r="F14" s="26"/>
      <c r="G14" s="91" t="s">
        <v>265</v>
      </c>
      <c r="H14" s="13" t="s">
        <v>389</v>
      </c>
    </row>
    <row r="15" spans="1:8" s="90" customFormat="1" ht="151.80000000000001" x14ac:dyDescent="0.25">
      <c r="A15" s="26" t="s">
        <v>214</v>
      </c>
      <c r="B15" s="88" t="s">
        <v>213</v>
      </c>
      <c r="C15" s="4" t="s">
        <v>308</v>
      </c>
      <c r="D15" s="79">
        <v>1</v>
      </c>
      <c r="E15" s="15"/>
      <c r="F15" s="15"/>
      <c r="G15" s="72" t="s">
        <v>265</v>
      </c>
      <c r="H15" s="13" t="s">
        <v>287</v>
      </c>
    </row>
    <row r="16" spans="1:8" ht="55.2" x14ac:dyDescent="0.25">
      <c r="A16" s="15" t="s">
        <v>216</v>
      </c>
      <c r="B16" s="39" t="s">
        <v>215</v>
      </c>
      <c r="C16" s="4" t="s">
        <v>409</v>
      </c>
      <c r="D16" s="79">
        <v>1</v>
      </c>
      <c r="E16" s="15"/>
      <c r="F16" s="15"/>
      <c r="G16" s="72" t="s">
        <v>265</v>
      </c>
      <c r="H16" s="13" t="s">
        <v>287</v>
      </c>
    </row>
  </sheetData>
  <mergeCells count="1">
    <mergeCell ref="C1:H2"/>
  </mergeCells>
  <hyperlinks>
    <hyperlink ref="B1" location="RESUMEN!A1" display="Ley Nº 16.744 &quot;Establece Normas sobre Accidentes del Trabajo y Enfermedades Profesionales&quot;" xr:uid="{00000000-0004-0000-0500-000000000000}"/>
  </hyperlinks>
  <pageMargins left="0.7" right="0.7" top="0.75" bottom="0.75" header="0.3" footer="0.3"/>
  <pageSetup orientation="portrait" horizontalDpi="4294967293" verticalDpi="0"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79998168889431442"/>
  </sheetPr>
  <dimension ref="A1:H34"/>
  <sheetViews>
    <sheetView showGridLines="0" topLeftCell="B1" zoomScale="120" zoomScaleNormal="120" workbookViewId="0">
      <selection activeCell="B1" sqref="B1"/>
    </sheetView>
  </sheetViews>
  <sheetFormatPr baseColWidth="10" defaultRowHeight="13.2" x14ac:dyDescent="0.25"/>
  <cols>
    <col min="1" max="1" width="18" style="18" bestFit="1" customWidth="1"/>
    <col min="2" max="2" width="131.33203125" customWidth="1"/>
    <col min="3" max="3" width="20.6640625" customWidth="1"/>
    <col min="6" max="7" width="11.44140625" style="16" customWidth="1"/>
    <col min="8" max="8" width="25.88671875" style="18" customWidth="1"/>
  </cols>
  <sheetData>
    <row r="1" spans="1:8" ht="12.75" customHeight="1" x14ac:dyDescent="0.25">
      <c r="A1" s="81" t="s">
        <v>33</v>
      </c>
      <c r="B1" s="36" t="s">
        <v>222</v>
      </c>
      <c r="C1" s="245" t="s">
        <v>38</v>
      </c>
      <c r="D1" s="245"/>
      <c r="E1" s="245"/>
      <c r="F1" s="245"/>
      <c r="G1" s="245"/>
      <c r="H1" s="246"/>
    </row>
    <row r="2" spans="1:8" ht="13.8" x14ac:dyDescent="0.25">
      <c r="A2" s="81" t="s">
        <v>35</v>
      </c>
      <c r="B2" s="56">
        <f>AVERAGE(D5:G23)</f>
        <v>1</v>
      </c>
      <c r="C2" s="248"/>
      <c r="D2" s="248"/>
      <c r="E2" s="248"/>
      <c r="F2" s="248"/>
      <c r="G2" s="248"/>
      <c r="H2" s="249"/>
    </row>
    <row r="3" spans="1:8" ht="28.5" customHeight="1" x14ac:dyDescent="0.25">
      <c r="A3" s="37" t="s">
        <v>25</v>
      </c>
      <c r="B3" s="37" t="s">
        <v>26</v>
      </c>
      <c r="C3" s="33" t="s">
        <v>19</v>
      </c>
      <c r="D3" s="33" t="s">
        <v>27</v>
      </c>
      <c r="E3" s="33" t="s">
        <v>36</v>
      </c>
      <c r="F3" s="33" t="s">
        <v>28</v>
      </c>
      <c r="G3" s="33" t="s">
        <v>12</v>
      </c>
      <c r="H3" s="33" t="s">
        <v>296</v>
      </c>
    </row>
    <row r="4" spans="1:8" s="132" customFormat="1" ht="28.5" customHeight="1" x14ac:dyDescent="0.25">
      <c r="A4" s="4" t="s">
        <v>632</v>
      </c>
      <c r="B4" s="5" t="s">
        <v>633</v>
      </c>
      <c r="C4" s="4" t="s">
        <v>341</v>
      </c>
      <c r="D4" s="30">
        <v>1</v>
      </c>
      <c r="E4" s="131"/>
      <c r="F4" s="131"/>
      <c r="G4" s="131"/>
      <c r="H4" s="131" t="s">
        <v>647</v>
      </c>
    </row>
    <row r="5" spans="1:8" s="1" customFormat="1" ht="54.75" customHeight="1" x14ac:dyDescent="0.25">
      <c r="A5" s="4" t="s">
        <v>218</v>
      </c>
      <c r="B5" s="2" t="s">
        <v>217</v>
      </c>
      <c r="C5" s="4" t="s">
        <v>361</v>
      </c>
      <c r="D5" s="30">
        <v>1</v>
      </c>
      <c r="E5" s="10"/>
      <c r="F5" s="4"/>
      <c r="G5" s="4"/>
      <c r="H5" s="4" t="s">
        <v>309</v>
      </c>
    </row>
    <row r="6" spans="1:8" s="1" customFormat="1" ht="66.75" customHeight="1" x14ac:dyDescent="0.25">
      <c r="A6" s="4" t="s">
        <v>710</v>
      </c>
      <c r="B6" s="35" t="s">
        <v>219</v>
      </c>
      <c r="C6" s="35" t="s">
        <v>311</v>
      </c>
      <c r="D6" s="30">
        <v>1</v>
      </c>
      <c r="E6" s="10"/>
      <c r="F6" s="4"/>
      <c r="G6" s="4"/>
      <c r="H6" s="4" t="s">
        <v>309</v>
      </c>
    </row>
    <row r="7" spans="1:8" s="1" customFormat="1" ht="168.75" customHeight="1" x14ac:dyDescent="0.25">
      <c r="A7" s="4" t="s">
        <v>220</v>
      </c>
      <c r="B7" s="35" t="s">
        <v>302</v>
      </c>
      <c r="C7" s="4" t="s">
        <v>341</v>
      </c>
      <c r="D7" s="30">
        <v>1</v>
      </c>
      <c r="E7" s="10"/>
      <c r="F7" s="30"/>
      <c r="G7" s="4"/>
      <c r="H7" s="4" t="s">
        <v>410</v>
      </c>
    </row>
    <row r="8" spans="1:8" s="1" customFormat="1" ht="66" customHeight="1" x14ac:dyDescent="0.25">
      <c r="A8" s="4" t="s">
        <v>315</v>
      </c>
      <c r="B8" s="85" t="s">
        <v>316</v>
      </c>
      <c r="C8" s="84" t="s">
        <v>341</v>
      </c>
      <c r="D8" s="30">
        <v>1</v>
      </c>
      <c r="E8" s="10"/>
      <c r="F8" s="30"/>
      <c r="G8" s="4"/>
      <c r="H8" s="4" t="s">
        <v>606</v>
      </c>
    </row>
    <row r="9" spans="1:8" s="1" customFormat="1" ht="41.4" x14ac:dyDescent="0.25">
      <c r="A9" s="4" t="s">
        <v>57</v>
      </c>
      <c r="B9" s="83" t="s">
        <v>411</v>
      </c>
      <c r="C9" s="103" t="s">
        <v>311</v>
      </c>
      <c r="D9" s="30">
        <v>1</v>
      </c>
      <c r="E9" s="10"/>
      <c r="F9" s="108"/>
      <c r="G9" s="4"/>
      <c r="H9" s="4" t="s">
        <v>606</v>
      </c>
    </row>
    <row r="10" spans="1:8" s="1" customFormat="1" ht="132" customHeight="1" x14ac:dyDescent="0.25">
      <c r="A10" s="4" t="s">
        <v>221</v>
      </c>
      <c r="B10" s="9" t="s">
        <v>412</v>
      </c>
      <c r="C10" s="84" t="s">
        <v>311</v>
      </c>
      <c r="D10" s="30">
        <v>1</v>
      </c>
      <c r="E10" s="10"/>
      <c r="F10" s="107"/>
      <c r="G10" s="4"/>
      <c r="H10" s="4" t="s">
        <v>606</v>
      </c>
    </row>
    <row r="11" spans="1:8" ht="63" customHeight="1" x14ac:dyDescent="0.25">
      <c r="A11" s="4" t="s">
        <v>224</v>
      </c>
      <c r="B11" s="5" t="s">
        <v>223</v>
      </c>
      <c r="C11" s="84" t="s">
        <v>311</v>
      </c>
      <c r="D11" s="105">
        <v>1</v>
      </c>
      <c r="E11" s="51"/>
      <c r="F11" s="105"/>
      <c r="G11" s="106"/>
      <c r="H11" s="104" t="s">
        <v>414</v>
      </c>
    </row>
    <row r="12" spans="1:8" ht="63" customHeight="1" x14ac:dyDescent="0.25">
      <c r="A12" s="4" t="s">
        <v>318</v>
      </c>
      <c r="B12" s="82" t="s">
        <v>319</v>
      </c>
      <c r="C12" s="84" t="s">
        <v>311</v>
      </c>
      <c r="D12" s="100">
        <v>1</v>
      </c>
      <c r="E12" s="51"/>
      <c r="F12" s="21"/>
      <c r="G12" s="21"/>
      <c r="H12" s="4" t="s">
        <v>413</v>
      </c>
    </row>
    <row r="13" spans="1:8" ht="50.25" customHeight="1" x14ac:dyDescent="0.25">
      <c r="A13" s="11" t="s">
        <v>226</v>
      </c>
      <c r="B13" s="13" t="s">
        <v>225</v>
      </c>
      <c r="C13" s="87" t="s">
        <v>314</v>
      </c>
      <c r="D13" s="101">
        <v>1</v>
      </c>
      <c r="E13" s="51"/>
      <c r="F13" s="96"/>
      <c r="G13" s="21"/>
      <c r="H13" s="4" t="s">
        <v>606</v>
      </c>
    </row>
    <row r="14" spans="1:8" ht="55.5" customHeight="1" x14ac:dyDescent="0.25">
      <c r="A14" s="11" t="s">
        <v>228</v>
      </c>
      <c r="B14" s="13" t="s">
        <v>227</v>
      </c>
      <c r="C14" s="13" t="s">
        <v>314</v>
      </c>
      <c r="D14" s="68">
        <v>1</v>
      </c>
      <c r="E14" s="51"/>
      <c r="F14" s="96"/>
      <c r="G14" s="21"/>
      <c r="H14" s="4" t="s">
        <v>607</v>
      </c>
    </row>
    <row r="15" spans="1:8" ht="57" customHeight="1" x14ac:dyDescent="0.25">
      <c r="A15" s="11" t="s">
        <v>230</v>
      </c>
      <c r="B15" s="13" t="s">
        <v>229</v>
      </c>
      <c r="C15" s="13" t="s">
        <v>341</v>
      </c>
      <c r="D15" s="68"/>
      <c r="E15" s="72"/>
      <c r="F15" s="97"/>
      <c r="G15" s="68">
        <v>1</v>
      </c>
      <c r="H15" s="4" t="s">
        <v>606</v>
      </c>
    </row>
    <row r="16" spans="1:8" ht="99.75" customHeight="1" x14ac:dyDescent="0.25">
      <c r="A16" s="11" t="s">
        <v>231</v>
      </c>
      <c r="B16" s="13" t="s">
        <v>232</v>
      </c>
      <c r="C16" s="13" t="s">
        <v>312</v>
      </c>
      <c r="D16" s="68"/>
      <c r="E16" s="72"/>
      <c r="F16" s="97"/>
      <c r="G16" s="68">
        <v>1</v>
      </c>
      <c r="H16" s="4" t="s">
        <v>606</v>
      </c>
    </row>
    <row r="17" spans="1:8" ht="54.75" customHeight="1" x14ac:dyDescent="0.25">
      <c r="A17" s="11" t="s">
        <v>234</v>
      </c>
      <c r="B17" s="13" t="s">
        <v>233</v>
      </c>
      <c r="C17" s="4" t="s">
        <v>310</v>
      </c>
      <c r="D17" s="68">
        <v>1</v>
      </c>
      <c r="E17" s="30"/>
      <c r="F17" s="30"/>
      <c r="G17" s="4"/>
      <c r="H17" s="4" t="s">
        <v>309</v>
      </c>
    </row>
    <row r="18" spans="1:8" ht="83.25" customHeight="1" x14ac:dyDescent="0.25">
      <c r="A18" s="11" t="s">
        <v>236</v>
      </c>
      <c r="B18" s="13" t="s">
        <v>235</v>
      </c>
      <c r="C18" s="13" t="s">
        <v>341</v>
      </c>
      <c r="D18" s="68">
        <v>1</v>
      </c>
      <c r="E18" s="72"/>
      <c r="F18" s="96"/>
      <c r="G18" s="96"/>
      <c r="H18" s="4" t="s">
        <v>415</v>
      </c>
    </row>
    <row r="19" spans="1:8" ht="158.25" customHeight="1" x14ac:dyDescent="0.25">
      <c r="A19" s="11" t="s">
        <v>74</v>
      </c>
      <c r="B19" s="13" t="s">
        <v>237</v>
      </c>
      <c r="C19" s="13" t="s">
        <v>650</v>
      </c>
      <c r="D19" s="68">
        <v>1</v>
      </c>
      <c r="E19" s="51"/>
      <c r="F19" s="96"/>
      <c r="G19" s="21"/>
      <c r="H19" s="4" t="s">
        <v>415</v>
      </c>
    </row>
    <row r="20" spans="1:8" s="1" customFormat="1" ht="27.6" x14ac:dyDescent="0.25">
      <c r="A20" s="4" t="s">
        <v>76</v>
      </c>
      <c r="B20" s="35" t="s">
        <v>313</v>
      </c>
      <c r="C20" s="13" t="s">
        <v>571</v>
      </c>
      <c r="D20" s="68">
        <v>1</v>
      </c>
      <c r="E20" s="4"/>
      <c r="F20" s="30"/>
      <c r="G20" s="4"/>
      <c r="H20" s="4" t="s">
        <v>415</v>
      </c>
    </row>
    <row r="21" spans="1:8" ht="42" customHeight="1" x14ac:dyDescent="0.25">
      <c r="A21" s="11" t="s">
        <v>239</v>
      </c>
      <c r="B21" s="13" t="s">
        <v>238</v>
      </c>
      <c r="C21" s="13" t="s">
        <v>341</v>
      </c>
      <c r="D21" s="68">
        <v>1</v>
      </c>
      <c r="E21" s="72"/>
      <c r="F21" s="30"/>
      <c r="G21" s="21"/>
      <c r="H21" s="4" t="s">
        <v>415</v>
      </c>
    </row>
    <row r="22" spans="1:8" ht="72.75" customHeight="1" x14ac:dyDescent="0.25">
      <c r="A22" s="11" t="s">
        <v>242</v>
      </c>
      <c r="B22" s="13" t="s">
        <v>241</v>
      </c>
      <c r="C22" s="13" t="s">
        <v>361</v>
      </c>
      <c r="D22" s="68">
        <v>1</v>
      </c>
      <c r="E22" s="72"/>
      <c r="F22" s="30"/>
      <c r="G22" s="21"/>
      <c r="H22" s="4" t="s">
        <v>416</v>
      </c>
    </row>
    <row r="23" spans="1:8" ht="98.25" customHeight="1" x14ac:dyDescent="0.25">
      <c r="A23" s="11" t="s">
        <v>243</v>
      </c>
      <c r="B23" s="13" t="s">
        <v>704</v>
      </c>
      <c r="C23" s="13" t="s">
        <v>317</v>
      </c>
      <c r="D23" s="68">
        <v>1</v>
      </c>
      <c r="E23" s="72"/>
      <c r="F23" s="30"/>
      <c r="G23" s="21"/>
      <c r="H23" s="4" t="s">
        <v>416</v>
      </c>
    </row>
    <row r="24" spans="1:8" ht="13.8" x14ac:dyDescent="0.25">
      <c r="A24" s="86"/>
      <c r="B24" s="54"/>
      <c r="C24" s="54"/>
    </row>
    <row r="25" spans="1:8" ht="13.8" x14ac:dyDescent="0.25">
      <c r="A25" s="86"/>
      <c r="B25" s="54"/>
      <c r="C25" s="54"/>
    </row>
    <row r="26" spans="1:8" ht="13.8" x14ac:dyDescent="0.25">
      <c r="A26" s="86"/>
      <c r="B26" s="54"/>
      <c r="C26" s="54"/>
    </row>
    <row r="27" spans="1:8" ht="13.8" x14ac:dyDescent="0.25">
      <c r="A27" s="86"/>
      <c r="B27" s="54"/>
      <c r="C27" s="54"/>
    </row>
    <row r="28" spans="1:8" ht="13.8" x14ac:dyDescent="0.25">
      <c r="A28" s="86"/>
      <c r="B28" s="1"/>
      <c r="C28" s="1"/>
    </row>
    <row r="29" spans="1:8" ht="13.8" x14ac:dyDescent="0.25">
      <c r="A29" s="86"/>
    </row>
    <row r="30" spans="1:8" ht="13.8" x14ac:dyDescent="0.25">
      <c r="A30" s="86"/>
    </row>
    <row r="31" spans="1:8" ht="13.8" x14ac:dyDescent="0.25">
      <c r="A31" s="86"/>
    </row>
    <row r="32" spans="1:8" ht="13.8" x14ac:dyDescent="0.25">
      <c r="A32" s="86"/>
      <c r="B32" s="54" t="s">
        <v>240</v>
      </c>
      <c r="C32" s="54"/>
    </row>
    <row r="33" spans="1:3" ht="13.8" x14ac:dyDescent="0.25">
      <c r="A33" s="86"/>
    </row>
    <row r="34" spans="1:3" ht="13.8" x14ac:dyDescent="0.25">
      <c r="A34" s="86"/>
      <c r="B34" s="54"/>
      <c r="C34" s="54"/>
    </row>
  </sheetData>
  <mergeCells count="1">
    <mergeCell ref="C1:H2"/>
  </mergeCells>
  <hyperlinks>
    <hyperlink ref="B1" location="RESUMEN!A1" display="DS 148 APRUEBA REGLAMENTO SANITARIO SOBRE MANEJO DE RESIDUOS PELIGROSOS " xr:uid="{00000000-0004-0000-0600-000000000000}"/>
  </hyperlinks>
  <pageMargins left="0.7" right="0.7" top="0.75" bottom="0.75" header="0.3" footer="0.3"/>
  <pageSetup orientation="portrait" horizontalDpi="4294967292"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79998168889431442"/>
  </sheetPr>
  <dimension ref="A1:H62"/>
  <sheetViews>
    <sheetView showGridLines="0" zoomScale="90" zoomScaleNormal="90" workbookViewId="0">
      <pane ySplit="3" topLeftCell="A49" activePane="bottomLeft" state="frozen"/>
      <selection activeCell="B1" sqref="B1"/>
      <selection pane="bottomLeft" activeCell="C52" sqref="C52"/>
    </sheetView>
  </sheetViews>
  <sheetFormatPr baseColWidth="10" defaultRowHeight="13.2" x14ac:dyDescent="0.25"/>
  <cols>
    <col min="1" max="1" width="20.33203125" customWidth="1"/>
    <col min="2" max="2" width="98.33203125" customWidth="1"/>
    <col min="3" max="3" width="20.6640625" style="18" customWidth="1"/>
    <col min="4" max="4" width="8.6640625" style="18" customWidth="1"/>
    <col min="5" max="5" width="6.88671875" customWidth="1"/>
    <col min="6" max="6" width="6.44140625" customWidth="1"/>
    <col min="7" max="7" width="8" customWidth="1"/>
    <col min="8" max="8" width="16" customWidth="1"/>
  </cols>
  <sheetData>
    <row r="1" spans="1:8" s="1" customFormat="1" ht="15" customHeight="1" x14ac:dyDescent="0.25">
      <c r="A1" s="32" t="s">
        <v>33</v>
      </c>
      <c r="B1" s="36" t="s">
        <v>4</v>
      </c>
      <c r="C1" s="245" t="s">
        <v>320</v>
      </c>
      <c r="D1" s="245"/>
      <c r="E1" s="245"/>
      <c r="F1" s="245"/>
      <c r="G1" s="245"/>
      <c r="H1" s="246"/>
    </row>
    <row r="2" spans="1:8" s="1" customFormat="1" ht="15" customHeight="1" x14ac:dyDescent="0.25">
      <c r="A2" s="32" t="s">
        <v>35</v>
      </c>
      <c r="B2" s="40">
        <f>AVERAGE(D5:G62)</f>
        <v>1</v>
      </c>
      <c r="C2" s="248"/>
      <c r="D2" s="248"/>
      <c r="E2" s="248"/>
      <c r="F2" s="248"/>
      <c r="G2" s="248"/>
      <c r="H2" s="249"/>
    </row>
    <row r="3" spans="1:8" s="1" customFormat="1" ht="24.75" customHeight="1" x14ac:dyDescent="0.25">
      <c r="A3" s="37" t="s">
        <v>25</v>
      </c>
      <c r="B3" s="37" t="s">
        <v>26</v>
      </c>
      <c r="C3" s="33" t="s">
        <v>19</v>
      </c>
      <c r="D3" s="33" t="s">
        <v>27</v>
      </c>
      <c r="E3" s="33" t="s">
        <v>36</v>
      </c>
      <c r="F3" s="33" t="s">
        <v>28</v>
      </c>
      <c r="G3" s="33" t="s">
        <v>12</v>
      </c>
      <c r="H3" s="33" t="s">
        <v>296</v>
      </c>
    </row>
    <row r="4" spans="1:8" s="1" customFormat="1" ht="82.8" x14ac:dyDescent="0.25">
      <c r="A4" s="156" t="s">
        <v>713</v>
      </c>
      <c r="B4" s="156" t="s">
        <v>714</v>
      </c>
      <c r="C4" s="157" t="s">
        <v>341</v>
      </c>
      <c r="D4" s="89"/>
      <c r="E4" s="89"/>
      <c r="F4" s="89"/>
      <c r="G4" s="89"/>
      <c r="H4" s="89"/>
    </row>
    <row r="5" spans="1:8" s="1" customFormat="1" ht="60" customHeight="1" x14ac:dyDescent="0.25">
      <c r="A5" s="4" t="s">
        <v>46</v>
      </c>
      <c r="B5" s="39" t="s">
        <v>45</v>
      </c>
      <c r="C5" s="4" t="s">
        <v>341</v>
      </c>
      <c r="D5" s="68">
        <v>1</v>
      </c>
      <c r="E5" s="4"/>
      <c r="F5" s="4"/>
      <c r="G5" s="4"/>
      <c r="H5" s="13" t="s">
        <v>627</v>
      </c>
    </row>
    <row r="6" spans="1:8" s="1" customFormat="1" ht="45" customHeight="1" x14ac:dyDescent="0.25">
      <c r="A6" s="4" t="s">
        <v>48</v>
      </c>
      <c r="B6" s="9" t="s">
        <v>47</v>
      </c>
      <c r="C6" s="4" t="s">
        <v>324</v>
      </c>
      <c r="D6" s="68">
        <v>1</v>
      </c>
      <c r="E6" s="4"/>
      <c r="F6" s="4"/>
      <c r="G6" s="4"/>
      <c r="H6" s="13" t="s">
        <v>384</v>
      </c>
    </row>
    <row r="7" spans="1:8" s="1" customFormat="1" ht="89.25" customHeight="1" x14ac:dyDescent="0.25">
      <c r="A7" s="4" t="s">
        <v>49</v>
      </c>
      <c r="B7" s="5" t="s">
        <v>715</v>
      </c>
      <c r="C7" s="4" t="s">
        <v>327</v>
      </c>
      <c r="D7" s="68">
        <v>1</v>
      </c>
      <c r="E7" s="4"/>
      <c r="F7" s="4"/>
      <c r="G7" s="4"/>
      <c r="H7" s="13" t="s">
        <v>627</v>
      </c>
    </row>
    <row r="8" spans="1:8" s="1" customFormat="1" ht="41.4" x14ac:dyDescent="0.25">
      <c r="A8" s="4" t="s">
        <v>51</v>
      </c>
      <c r="B8" s="5" t="s">
        <v>50</v>
      </c>
      <c r="C8" s="4" t="s">
        <v>327</v>
      </c>
      <c r="D8" s="68">
        <v>1</v>
      </c>
      <c r="E8" s="4"/>
      <c r="F8" s="4"/>
      <c r="G8" s="4"/>
      <c r="H8" s="13" t="s">
        <v>627</v>
      </c>
    </row>
    <row r="9" spans="1:8" s="1" customFormat="1" ht="50.25" customHeight="1" x14ac:dyDescent="0.25">
      <c r="A9" s="4" t="s">
        <v>52</v>
      </c>
      <c r="B9" s="2" t="s">
        <v>53</v>
      </c>
      <c r="C9" s="3" t="s">
        <v>305</v>
      </c>
      <c r="D9" s="68">
        <v>1</v>
      </c>
      <c r="E9" s="4"/>
      <c r="F9" s="4"/>
      <c r="G9" s="4"/>
      <c r="H9" s="13" t="s">
        <v>421</v>
      </c>
    </row>
    <row r="10" spans="1:8" s="1" customFormat="1" ht="77.25" customHeight="1" x14ac:dyDescent="0.25">
      <c r="A10" s="4" t="s">
        <v>55</v>
      </c>
      <c r="B10" s="5" t="s">
        <v>54</v>
      </c>
      <c r="C10" s="4" t="s">
        <v>324</v>
      </c>
      <c r="D10" s="68">
        <v>1</v>
      </c>
      <c r="E10" s="4"/>
      <c r="F10" s="4"/>
      <c r="G10" s="4"/>
      <c r="H10" s="13" t="s">
        <v>628</v>
      </c>
    </row>
    <row r="11" spans="1:8" s="1" customFormat="1" ht="57.75" customHeight="1" x14ac:dyDescent="0.25">
      <c r="A11" s="4" t="s">
        <v>57</v>
      </c>
      <c r="B11" s="5" t="s">
        <v>56</v>
      </c>
      <c r="C11" s="4" t="s">
        <v>371</v>
      </c>
      <c r="D11" s="68">
        <v>1</v>
      </c>
      <c r="E11" s="4"/>
      <c r="F11" s="4"/>
      <c r="G11" s="4"/>
      <c r="H11" s="13" t="s">
        <v>419</v>
      </c>
    </row>
    <row r="12" spans="1:8" s="1" customFormat="1" ht="51" customHeight="1" x14ac:dyDescent="0.25">
      <c r="A12" s="4" t="s">
        <v>59</v>
      </c>
      <c r="B12" s="2" t="s">
        <v>58</v>
      </c>
      <c r="C12" s="3" t="s">
        <v>305</v>
      </c>
      <c r="D12" s="68">
        <v>1</v>
      </c>
      <c r="E12" s="4"/>
      <c r="F12" s="4"/>
      <c r="G12" s="4"/>
      <c r="H12" s="13" t="s">
        <v>372</v>
      </c>
    </row>
    <row r="13" spans="1:8" s="1" customFormat="1" ht="84" customHeight="1" x14ac:dyDescent="0.25">
      <c r="A13" s="4" t="s">
        <v>60</v>
      </c>
      <c r="B13" s="5" t="s">
        <v>716</v>
      </c>
      <c r="C13" s="4" t="s">
        <v>305</v>
      </c>
      <c r="D13" s="68">
        <v>1</v>
      </c>
      <c r="E13" s="4"/>
      <c r="F13" s="4"/>
      <c r="G13" s="4"/>
      <c r="H13" s="13" t="s">
        <v>385</v>
      </c>
    </row>
    <row r="14" spans="1:8" s="1" customFormat="1" ht="45.75" customHeight="1" x14ac:dyDescent="0.25">
      <c r="A14" s="4" t="s">
        <v>62</v>
      </c>
      <c r="B14" s="5" t="s">
        <v>61</v>
      </c>
      <c r="C14" s="4" t="s">
        <v>305</v>
      </c>
      <c r="D14" s="68">
        <v>1</v>
      </c>
      <c r="E14" s="4"/>
      <c r="F14" s="4"/>
      <c r="G14" s="4"/>
      <c r="H14" s="13" t="s">
        <v>328</v>
      </c>
    </row>
    <row r="15" spans="1:8" s="1" customFormat="1" ht="62.25" customHeight="1" x14ac:dyDescent="0.25">
      <c r="A15" s="4" t="s">
        <v>64</v>
      </c>
      <c r="B15" s="2" t="s">
        <v>63</v>
      </c>
      <c r="C15" s="3" t="s">
        <v>305</v>
      </c>
      <c r="D15" s="68">
        <v>1</v>
      </c>
      <c r="E15" s="4"/>
      <c r="F15" s="4"/>
      <c r="G15" s="4"/>
      <c r="H15" s="13" t="s">
        <v>385</v>
      </c>
    </row>
    <row r="16" spans="1:8" s="1" customFormat="1" ht="110.4" x14ac:dyDescent="0.25">
      <c r="A16" s="4" t="s">
        <v>65</v>
      </c>
      <c r="B16" s="5" t="s">
        <v>717</v>
      </c>
      <c r="C16" s="4" t="s">
        <v>341</v>
      </c>
      <c r="D16" s="68">
        <v>1</v>
      </c>
      <c r="E16" s="4"/>
      <c r="F16" s="4"/>
      <c r="G16" s="4"/>
      <c r="H16" s="13" t="s">
        <v>627</v>
      </c>
    </row>
    <row r="17" spans="1:8" s="1" customFormat="1" ht="289.8" x14ac:dyDescent="0.25">
      <c r="A17" s="4" t="s">
        <v>66</v>
      </c>
      <c r="B17" s="2" t="s">
        <v>718</v>
      </c>
      <c r="C17" s="3" t="s">
        <v>341</v>
      </c>
      <c r="D17" s="68">
        <v>1</v>
      </c>
      <c r="E17" s="4"/>
      <c r="F17" s="4"/>
      <c r="G17" s="4"/>
      <c r="H17" s="13" t="s">
        <v>627</v>
      </c>
    </row>
    <row r="18" spans="1:8" s="1" customFormat="1" ht="43.5" customHeight="1" x14ac:dyDescent="0.25">
      <c r="A18" s="4" t="s">
        <v>68</v>
      </c>
      <c r="B18" s="5" t="s">
        <v>67</v>
      </c>
      <c r="C18" s="4" t="s">
        <v>341</v>
      </c>
      <c r="D18" s="68">
        <v>1</v>
      </c>
      <c r="E18" s="4"/>
      <c r="F18" s="4"/>
      <c r="G18" s="68"/>
      <c r="H18" s="13" t="s">
        <v>627</v>
      </c>
    </row>
    <row r="19" spans="1:8" s="1" customFormat="1" ht="46.5" customHeight="1" x14ac:dyDescent="0.25">
      <c r="A19" s="4" t="s">
        <v>70</v>
      </c>
      <c r="B19" s="39" t="s">
        <v>69</v>
      </c>
      <c r="C19" s="4" t="s">
        <v>305</v>
      </c>
      <c r="D19" s="68">
        <v>1</v>
      </c>
      <c r="E19" s="4"/>
      <c r="F19" s="4"/>
      <c r="G19" s="4"/>
      <c r="H19" s="13" t="s">
        <v>328</v>
      </c>
    </row>
    <row r="20" spans="1:8" s="1" customFormat="1" ht="105.75" customHeight="1" x14ac:dyDescent="0.25">
      <c r="A20" s="4" t="s">
        <v>720</v>
      </c>
      <c r="B20" s="5" t="s">
        <v>719</v>
      </c>
      <c r="C20" s="4" t="s">
        <v>381</v>
      </c>
      <c r="D20" s="68"/>
      <c r="E20" s="4"/>
      <c r="F20" s="4"/>
      <c r="G20" s="68">
        <v>1</v>
      </c>
      <c r="H20" s="13" t="s">
        <v>421</v>
      </c>
    </row>
    <row r="21" spans="1:8" s="1" customFormat="1" ht="130.5" customHeight="1" x14ac:dyDescent="0.25">
      <c r="A21" s="4" t="s">
        <v>71</v>
      </c>
      <c r="B21" s="39" t="s">
        <v>373</v>
      </c>
      <c r="C21" s="4" t="s">
        <v>327</v>
      </c>
      <c r="D21" s="68">
        <v>1</v>
      </c>
      <c r="E21" s="4"/>
      <c r="F21" s="4"/>
      <c r="G21" s="4"/>
      <c r="H21" s="13" t="s">
        <v>627</v>
      </c>
    </row>
    <row r="22" spans="1:8" s="1" customFormat="1" ht="72" customHeight="1" x14ac:dyDescent="0.25">
      <c r="A22" s="4" t="s">
        <v>73</v>
      </c>
      <c r="B22" s="5" t="s">
        <v>72</v>
      </c>
      <c r="C22" s="4" t="s">
        <v>327</v>
      </c>
      <c r="D22" s="68">
        <v>1</v>
      </c>
      <c r="E22" s="4"/>
      <c r="F22" s="4"/>
      <c r="G22" s="4"/>
      <c r="H22" s="13" t="s">
        <v>627</v>
      </c>
    </row>
    <row r="23" spans="1:8" s="1" customFormat="1" ht="66" customHeight="1" x14ac:dyDescent="0.25">
      <c r="A23" s="4" t="s">
        <v>74</v>
      </c>
      <c r="B23" s="39" t="s">
        <v>374</v>
      </c>
      <c r="C23" s="4" t="s">
        <v>327</v>
      </c>
      <c r="D23" s="68"/>
      <c r="E23" s="4"/>
      <c r="F23" s="4"/>
      <c r="G23" s="68">
        <v>1</v>
      </c>
      <c r="H23" s="13" t="s">
        <v>513</v>
      </c>
    </row>
    <row r="24" spans="1:8" s="1" customFormat="1" ht="69" x14ac:dyDescent="0.25">
      <c r="A24" s="4" t="s">
        <v>76</v>
      </c>
      <c r="B24" s="2" t="s">
        <v>75</v>
      </c>
      <c r="C24" s="3" t="s">
        <v>341</v>
      </c>
      <c r="D24" s="68">
        <v>1</v>
      </c>
      <c r="E24" s="4"/>
      <c r="F24" s="4"/>
      <c r="G24" s="68"/>
      <c r="H24" s="13" t="s">
        <v>514</v>
      </c>
    </row>
    <row r="25" spans="1:8" s="1" customFormat="1" ht="50.25" customHeight="1" x14ac:dyDescent="0.25">
      <c r="A25" s="4" t="s">
        <v>77</v>
      </c>
      <c r="B25" s="39" t="s">
        <v>375</v>
      </c>
      <c r="C25" s="4" t="s">
        <v>327</v>
      </c>
      <c r="D25" s="68">
        <v>1</v>
      </c>
      <c r="E25" s="4"/>
      <c r="F25" s="4"/>
      <c r="G25" s="4"/>
      <c r="H25" s="13" t="s">
        <v>516</v>
      </c>
    </row>
    <row r="26" spans="1:8" s="1" customFormat="1" ht="27.6" x14ac:dyDescent="0.25">
      <c r="A26" s="158" t="s">
        <v>721</v>
      </c>
      <c r="B26" s="159" t="s">
        <v>722</v>
      </c>
      <c r="C26" s="158"/>
      <c r="D26" s="128"/>
      <c r="E26" s="158"/>
      <c r="F26" s="158"/>
      <c r="G26" s="158"/>
      <c r="H26" s="151"/>
    </row>
    <row r="27" spans="1:8" s="1" customFormat="1" ht="78" customHeight="1" x14ac:dyDescent="0.25">
      <c r="A27" s="4" t="s">
        <v>635</v>
      </c>
      <c r="B27" s="2" t="s">
        <v>78</v>
      </c>
      <c r="C27" s="3" t="s">
        <v>341</v>
      </c>
      <c r="D27" s="68">
        <v>1</v>
      </c>
      <c r="E27" s="4"/>
      <c r="F27" s="4"/>
      <c r="G27" s="4"/>
      <c r="H27" s="13" t="s">
        <v>513</v>
      </c>
    </row>
    <row r="28" spans="1:8" s="1" customFormat="1" ht="42.75" customHeight="1" x14ac:dyDescent="0.25">
      <c r="A28" s="4" t="s">
        <v>634</v>
      </c>
      <c r="B28" s="5" t="s">
        <v>39</v>
      </c>
      <c r="C28" s="4" t="s">
        <v>341</v>
      </c>
      <c r="D28" s="68">
        <v>1</v>
      </c>
      <c r="E28" s="4"/>
      <c r="F28" s="4"/>
      <c r="G28" s="4"/>
      <c r="H28" s="13" t="s">
        <v>513</v>
      </c>
    </row>
    <row r="29" spans="1:8" s="1" customFormat="1" ht="39" customHeight="1" x14ac:dyDescent="0.25">
      <c r="A29" s="4" t="s">
        <v>636</v>
      </c>
      <c r="B29" s="5" t="s">
        <v>40</v>
      </c>
      <c r="C29" s="4" t="s">
        <v>341</v>
      </c>
      <c r="D29" s="68"/>
      <c r="E29" s="4"/>
      <c r="F29" s="4"/>
      <c r="G29" s="68">
        <v>1</v>
      </c>
      <c r="H29" s="13" t="s">
        <v>513</v>
      </c>
    </row>
    <row r="30" spans="1:8" s="1" customFormat="1" ht="41.4" x14ac:dyDescent="0.25">
      <c r="A30" s="4" t="s">
        <v>637</v>
      </c>
      <c r="B30" s="2" t="s">
        <v>41</v>
      </c>
      <c r="C30" s="3" t="s">
        <v>341</v>
      </c>
      <c r="D30" s="68">
        <v>1</v>
      </c>
      <c r="E30" s="4"/>
      <c r="F30" s="4"/>
      <c r="G30" s="4"/>
      <c r="H30" s="13" t="s">
        <v>513</v>
      </c>
    </row>
    <row r="31" spans="1:8" s="1" customFormat="1" ht="41.4" x14ac:dyDescent="0.25">
      <c r="A31" s="4" t="s">
        <v>80</v>
      </c>
      <c r="B31" s="5" t="s">
        <v>79</v>
      </c>
      <c r="C31" s="3" t="s">
        <v>17</v>
      </c>
      <c r="D31" s="68"/>
      <c r="E31" s="4"/>
      <c r="F31" s="4"/>
      <c r="G31" s="30">
        <v>1</v>
      </c>
      <c r="H31" s="13" t="s">
        <v>513</v>
      </c>
    </row>
    <row r="32" spans="1:8" s="1" customFormat="1" ht="27.6" x14ac:dyDescent="0.25">
      <c r="A32" s="4" t="s">
        <v>81</v>
      </c>
      <c r="B32" s="39" t="s">
        <v>376</v>
      </c>
      <c r="C32" s="4" t="s">
        <v>341</v>
      </c>
      <c r="D32" s="68">
        <v>1</v>
      </c>
      <c r="E32" s="4"/>
      <c r="F32" s="4"/>
      <c r="G32" s="4"/>
      <c r="H32" s="13" t="s">
        <v>384</v>
      </c>
    </row>
    <row r="33" spans="1:8" s="1" customFormat="1" ht="41.4" x14ac:dyDescent="0.25">
      <c r="A33" s="4" t="s">
        <v>82</v>
      </c>
      <c r="B33" s="39" t="s">
        <v>377</v>
      </c>
      <c r="C33" s="4" t="s">
        <v>341</v>
      </c>
      <c r="D33" s="68"/>
      <c r="E33" s="4"/>
      <c r="F33" s="4"/>
      <c r="G33" s="30">
        <v>1</v>
      </c>
      <c r="H33" s="13" t="s">
        <v>513</v>
      </c>
    </row>
    <row r="34" spans="1:8" s="1" customFormat="1" ht="46.5" customHeight="1" x14ac:dyDescent="0.25">
      <c r="A34" s="4" t="s">
        <v>723</v>
      </c>
      <c r="B34" s="5" t="s">
        <v>83</v>
      </c>
      <c r="C34" s="4" t="s">
        <v>327</v>
      </c>
      <c r="D34" s="68">
        <v>1</v>
      </c>
      <c r="E34" s="4"/>
      <c r="F34" s="4"/>
      <c r="G34" s="4"/>
      <c r="H34" s="13" t="s">
        <v>386</v>
      </c>
    </row>
    <row r="35" spans="1:8" s="1" customFormat="1" ht="49.5" customHeight="1" x14ac:dyDescent="0.25">
      <c r="A35" s="89" t="s">
        <v>84</v>
      </c>
      <c r="B35" s="202" t="s">
        <v>42</v>
      </c>
      <c r="C35" s="131" t="s">
        <v>371</v>
      </c>
      <c r="D35" s="203">
        <v>1</v>
      </c>
      <c r="E35" s="89"/>
      <c r="F35" s="89"/>
      <c r="G35" s="89"/>
      <c r="H35" s="204" t="s">
        <v>572</v>
      </c>
    </row>
    <row r="36" spans="1:8" s="1" customFormat="1" ht="69" x14ac:dyDescent="0.25">
      <c r="A36" s="89" t="s">
        <v>84</v>
      </c>
      <c r="B36" s="205" t="s">
        <v>43</v>
      </c>
      <c r="C36" s="89" t="s">
        <v>361</v>
      </c>
      <c r="D36" s="203">
        <v>1</v>
      </c>
      <c r="E36" s="89"/>
      <c r="F36" s="89"/>
      <c r="G36" s="89"/>
      <c r="H36" s="204" t="s">
        <v>422</v>
      </c>
    </row>
    <row r="37" spans="1:8" s="1" customFormat="1" ht="57.75" customHeight="1" x14ac:dyDescent="0.25">
      <c r="A37" s="89" t="s">
        <v>84</v>
      </c>
      <c r="B37" s="205" t="s">
        <v>44</v>
      </c>
      <c r="C37" s="131" t="s">
        <v>341</v>
      </c>
      <c r="D37" s="203"/>
      <c r="E37" s="89"/>
      <c r="F37" s="89"/>
      <c r="G37" s="206">
        <v>1</v>
      </c>
      <c r="H37" s="204" t="s">
        <v>418</v>
      </c>
    </row>
    <row r="38" spans="1:8" s="1" customFormat="1" ht="53.25" customHeight="1" x14ac:dyDescent="0.25">
      <c r="A38" s="4" t="s">
        <v>85</v>
      </c>
      <c r="B38" s="2" t="s">
        <v>724</v>
      </c>
      <c r="C38" s="3" t="s">
        <v>17</v>
      </c>
      <c r="D38" s="68"/>
      <c r="E38" s="4"/>
      <c r="F38" s="4"/>
      <c r="G38" s="30">
        <v>1</v>
      </c>
      <c r="H38" s="13" t="s">
        <v>515</v>
      </c>
    </row>
    <row r="39" spans="1:8" s="1" customFormat="1" ht="55.2" x14ac:dyDescent="0.25">
      <c r="A39" s="4" t="s">
        <v>725</v>
      </c>
      <c r="B39" s="2" t="s">
        <v>86</v>
      </c>
      <c r="C39" s="3" t="s">
        <v>341</v>
      </c>
      <c r="D39" s="68">
        <v>1</v>
      </c>
      <c r="E39" s="4"/>
      <c r="F39" s="4"/>
      <c r="G39" s="4"/>
      <c r="H39" s="13" t="s">
        <v>517</v>
      </c>
    </row>
    <row r="40" spans="1:8" s="7" customFormat="1" ht="55.5" customHeight="1" x14ac:dyDescent="0.25">
      <c r="A40" s="4" t="s">
        <v>638</v>
      </c>
      <c r="B40" s="5" t="s">
        <v>331</v>
      </c>
      <c r="C40" s="3" t="s">
        <v>341</v>
      </c>
      <c r="D40" s="68">
        <v>1</v>
      </c>
      <c r="E40" s="4"/>
      <c r="F40" s="4"/>
      <c r="G40" s="30"/>
      <c r="H40" s="13" t="s">
        <v>517</v>
      </c>
    </row>
    <row r="41" spans="1:8" s="7" customFormat="1" ht="62.4" x14ac:dyDescent="0.25">
      <c r="A41" s="158" t="s">
        <v>726</v>
      </c>
      <c r="B41" s="160" t="s">
        <v>727</v>
      </c>
      <c r="C41" s="3"/>
      <c r="D41" s="68"/>
      <c r="E41" s="4"/>
      <c r="F41" s="4"/>
      <c r="G41" s="30"/>
      <c r="H41" s="13"/>
    </row>
    <row r="42" spans="1:8" s="1" customFormat="1" ht="49.5" customHeight="1" x14ac:dyDescent="0.25">
      <c r="A42" s="4" t="s">
        <v>639</v>
      </c>
      <c r="B42" s="5" t="s">
        <v>332</v>
      </c>
      <c r="C42" s="4" t="s">
        <v>341</v>
      </c>
      <c r="D42" s="68">
        <v>1</v>
      </c>
      <c r="E42" s="4"/>
      <c r="F42" s="4"/>
      <c r="G42" s="4"/>
      <c r="H42" s="13" t="s">
        <v>517</v>
      </c>
    </row>
    <row r="43" spans="1:8" s="1" customFormat="1" ht="103.5" customHeight="1" x14ac:dyDescent="0.25">
      <c r="A43" s="4" t="s">
        <v>87</v>
      </c>
      <c r="B43" s="5" t="s">
        <v>728</v>
      </c>
      <c r="C43" s="3" t="s">
        <v>327</v>
      </c>
      <c r="D43" s="68">
        <v>1</v>
      </c>
      <c r="E43" s="4"/>
      <c r="F43" s="4"/>
      <c r="G43" s="4"/>
      <c r="H43" s="13" t="s">
        <v>378</v>
      </c>
    </row>
    <row r="44" spans="1:8" s="1" customFormat="1" ht="124.2" x14ac:dyDescent="0.25">
      <c r="A44" s="4" t="s">
        <v>88</v>
      </c>
      <c r="B44" s="39" t="s">
        <v>733</v>
      </c>
      <c r="C44" s="4" t="s">
        <v>327</v>
      </c>
      <c r="D44" s="68">
        <v>1</v>
      </c>
      <c r="E44" s="4"/>
      <c r="F44" s="4"/>
      <c r="G44" s="4"/>
      <c r="H44" s="13" t="s">
        <v>418</v>
      </c>
    </row>
    <row r="45" spans="1:8" s="1" customFormat="1" ht="41.4" x14ac:dyDescent="0.25">
      <c r="A45" s="4" t="s">
        <v>90</v>
      </c>
      <c r="B45" s="2" t="s">
        <v>89</v>
      </c>
      <c r="C45" s="3" t="s">
        <v>327</v>
      </c>
      <c r="D45" s="68">
        <v>1</v>
      </c>
      <c r="E45" s="4"/>
      <c r="F45" s="4"/>
      <c r="G45" s="4"/>
      <c r="H45" s="13" t="s">
        <v>418</v>
      </c>
    </row>
    <row r="46" spans="1:8" s="1" customFormat="1" ht="43.5" customHeight="1" x14ac:dyDescent="0.25">
      <c r="A46" s="4" t="s">
        <v>92</v>
      </c>
      <c r="B46" s="5" t="s">
        <v>91</v>
      </c>
      <c r="C46" s="4" t="s">
        <v>324</v>
      </c>
      <c r="D46" s="68">
        <v>1</v>
      </c>
      <c r="E46" s="4"/>
      <c r="F46" s="4"/>
      <c r="G46" s="4"/>
      <c r="H46" s="13" t="s">
        <v>333</v>
      </c>
    </row>
    <row r="47" spans="1:8" s="1" customFormat="1" ht="65.25" customHeight="1" x14ac:dyDescent="0.25">
      <c r="A47" s="4" t="s">
        <v>380</v>
      </c>
      <c r="B47" s="5" t="s">
        <v>518</v>
      </c>
      <c r="C47" s="4" t="s">
        <v>327</v>
      </c>
      <c r="D47" s="68">
        <v>1</v>
      </c>
      <c r="E47" s="4"/>
      <c r="F47" s="4"/>
      <c r="G47" s="4"/>
      <c r="H47" s="13" t="s">
        <v>519</v>
      </c>
    </row>
    <row r="48" spans="1:8" s="1" customFormat="1" ht="82.8" x14ac:dyDescent="0.25">
      <c r="A48" s="4" t="s">
        <v>94</v>
      </c>
      <c r="B48" s="2" t="s">
        <v>93</v>
      </c>
      <c r="C48" s="3" t="s">
        <v>327</v>
      </c>
      <c r="D48" s="68">
        <v>1</v>
      </c>
      <c r="E48" s="4"/>
      <c r="F48" s="4"/>
      <c r="G48" s="4"/>
      <c r="H48" s="13" t="s">
        <v>378</v>
      </c>
    </row>
    <row r="49" spans="1:8" s="1" customFormat="1" ht="69" x14ac:dyDescent="0.25">
      <c r="A49" s="4" t="s">
        <v>95</v>
      </c>
      <c r="B49" s="39" t="s">
        <v>379</v>
      </c>
      <c r="C49" s="4" t="s">
        <v>327</v>
      </c>
      <c r="D49" s="68">
        <v>1</v>
      </c>
      <c r="E49" s="4"/>
      <c r="F49" s="4"/>
      <c r="G49" s="4"/>
      <c r="H49" s="13" t="s">
        <v>420</v>
      </c>
    </row>
    <row r="50" spans="1:8" s="1" customFormat="1" ht="69" x14ac:dyDescent="0.25">
      <c r="A50" s="4" t="s">
        <v>96</v>
      </c>
      <c r="B50" s="2" t="s">
        <v>935</v>
      </c>
      <c r="C50" s="4" t="s">
        <v>423</v>
      </c>
      <c r="D50" s="68">
        <v>1</v>
      </c>
      <c r="E50" s="4"/>
      <c r="F50" s="4"/>
      <c r="G50" s="4"/>
      <c r="H50" s="13" t="s">
        <v>334</v>
      </c>
    </row>
    <row r="51" spans="1:8" s="1" customFormat="1" ht="82.8" x14ac:dyDescent="0.25">
      <c r="A51" s="4" t="s">
        <v>97</v>
      </c>
      <c r="B51" s="39" t="s">
        <v>729</v>
      </c>
      <c r="C51" s="4" t="s">
        <v>326</v>
      </c>
      <c r="D51" s="68">
        <v>1</v>
      </c>
      <c r="E51" s="4"/>
      <c r="F51" s="4"/>
      <c r="G51" s="4"/>
      <c r="H51" s="13" t="s">
        <v>288</v>
      </c>
    </row>
    <row r="52" spans="1:8" s="1" customFormat="1" ht="110.4" x14ac:dyDescent="0.25">
      <c r="A52" s="4" t="s">
        <v>98</v>
      </c>
      <c r="B52" s="5" t="s">
        <v>730</v>
      </c>
      <c r="C52" s="4" t="s">
        <v>327</v>
      </c>
      <c r="D52" s="68"/>
      <c r="E52" s="4"/>
      <c r="F52" s="4"/>
      <c r="G52" s="68">
        <v>1</v>
      </c>
      <c r="H52" s="13" t="s">
        <v>418</v>
      </c>
    </row>
    <row r="53" spans="1:8" s="1" customFormat="1" ht="41.4" x14ac:dyDescent="0.25">
      <c r="A53" s="4" t="s">
        <v>99</v>
      </c>
      <c r="B53" s="39" t="s">
        <v>731</v>
      </c>
      <c r="C53" s="4" t="s">
        <v>341</v>
      </c>
      <c r="D53" s="68"/>
      <c r="E53" s="4"/>
      <c r="F53" s="4"/>
      <c r="G53" s="30">
        <v>1</v>
      </c>
      <c r="H53" s="13" t="s">
        <v>418</v>
      </c>
    </row>
    <row r="54" spans="1:8" s="1" customFormat="1" ht="96.6" x14ac:dyDescent="0.25">
      <c r="A54" s="4" t="s">
        <v>100</v>
      </c>
      <c r="B54" s="39" t="s">
        <v>109</v>
      </c>
      <c r="C54" s="4" t="s">
        <v>424</v>
      </c>
      <c r="D54" s="68"/>
      <c r="E54" s="4"/>
      <c r="F54" s="4"/>
      <c r="G54" s="30">
        <v>1</v>
      </c>
      <c r="H54" s="13" t="s">
        <v>418</v>
      </c>
    </row>
    <row r="55" spans="1:8" s="1" customFormat="1" ht="41.4" x14ac:dyDescent="0.25">
      <c r="A55" s="4" t="s">
        <v>101</v>
      </c>
      <c r="B55" s="39" t="s">
        <v>732</v>
      </c>
      <c r="C55" s="4" t="s">
        <v>424</v>
      </c>
      <c r="D55" s="68"/>
      <c r="E55" s="4"/>
      <c r="F55" s="4"/>
      <c r="G55" s="30">
        <v>1</v>
      </c>
      <c r="H55" s="13" t="s">
        <v>418</v>
      </c>
    </row>
    <row r="56" spans="1:8" s="1" customFormat="1" ht="41.4" x14ac:dyDescent="0.25">
      <c r="A56" s="4" t="s">
        <v>102</v>
      </c>
      <c r="B56" s="39" t="s">
        <v>108</v>
      </c>
      <c r="C56" s="4" t="s">
        <v>341</v>
      </c>
      <c r="D56" s="68">
        <v>1</v>
      </c>
      <c r="E56" s="4"/>
      <c r="F56" s="4"/>
      <c r="G56" s="68"/>
      <c r="H56" s="13" t="s">
        <v>418</v>
      </c>
    </row>
    <row r="57" spans="1:8" s="1" customFormat="1" ht="41.4" x14ac:dyDescent="0.25">
      <c r="A57" s="4" t="s">
        <v>103</v>
      </c>
      <c r="B57" s="39" t="s">
        <v>734</v>
      </c>
      <c r="C57" s="4" t="s">
        <v>341</v>
      </c>
      <c r="D57" s="68"/>
      <c r="E57" s="4"/>
      <c r="F57" s="4"/>
      <c r="G57" s="68">
        <v>1</v>
      </c>
      <c r="H57" s="13" t="s">
        <v>418</v>
      </c>
    </row>
    <row r="58" spans="1:8" s="1" customFormat="1" ht="27.6" x14ac:dyDescent="0.25">
      <c r="A58" s="4" t="s">
        <v>104</v>
      </c>
      <c r="B58" s="5" t="s">
        <v>735</v>
      </c>
      <c r="C58" s="4" t="s">
        <v>381</v>
      </c>
      <c r="D58" s="68">
        <v>1</v>
      </c>
      <c r="E58" s="4"/>
      <c r="F58" s="4"/>
      <c r="G58" s="68"/>
      <c r="H58" s="13" t="s">
        <v>329</v>
      </c>
    </row>
    <row r="59" spans="1:8" s="1" customFormat="1" ht="41.4" x14ac:dyDescent="0.25">
      <c r="A59" s="4" t="s">
        <v>105</v>
      </c>
      <c r="B59" s="5" t="s">
        <v>736</v>
      </c>
      <c r="C59" s="4" t="s">
        <v>324</v>
      </c>
      <c r="D59" s="68">
        <v>1</v>
      </c>
      <c r="E59" s="30"/>
      <c r="F59" s="4"/>
      <c r="G59" s="4"/>
      <c r="H59" s="13" t="s">
        <v>520</v>
      </c>
    </row>
    <row r="60" spans="1:8" s="164" customFormat="1" ht="78.75" customHeight="1" x14ac:dyDescent="0.25">
      <c r="A60" s="153" t="s">
        <v>737</v>
      </c>
      <c r="B60" s="161" t="s">
        <v>738</v>
      </c>
      <c r="C60" s="154" t="s">
        <v>382</v>
      </c>
      <c r="D60" s="162">
        <v>1</v>
      </c>
      <c r="E60" s="163"/>
      <c r="F60" s="163"/>
      <c r="G60" s="163"/>
      <c r="H60" s="154" t="s">
        <v>367</v>
      </c>
    </row>
    <row r="61" spans="1:8" s="1" customFormat="1" ht="384.75" customHeight="1" x14ac:dyDescent="0.3">
      <c r="A61" s="4" t="s">
        <v>739</v>
      </c>
      <c r="B61" s="161" t="s">
        <v>740</v>
      </c>
      <c r="C61" s="4" t="s">
        <v>382</v>
      </c>
      <c r="D61" s="68">
        <v>1</v>
      </c>
      <c r="E61" s="12"/>
      <c r="F61" s="12"/>
      <c r="G61" s="12"/>
      <c r="H61" s="13" t="s">
        <v>367</v>
      </c>
    </row>
    <row r="62" spans="1:8" ht="41.4" x14ac:dyDescent="0.3">
      <c r="A62" s="11" t="s">
        <v>107</v>
      </c>
      <c r="B62" s="39" t="s">
        <v>106</v>
      </c>
      <c r="C62" s="4" t="s">
        <v>305</v>
      </c>
      <c r="D62" s="68">
        <v>1</v>
      </c>
      <c r="E62" s="12"/>
      <c r="F62" s="12"/>
      <c r="G62" s="12"/>
      <c r="H62" s="13" t="s">
        <v>335</v>
      </c>
    </row>
  </sheetData>
  <mergeCells count="1">
    <mergeCell ref="C1:H2"/>
  </mergeCells>
  <hyperlinks>
    <hyperlink ref="B1" location="RESUMEN!A1" display="DS 594 &quot;Reglamento sobre condiciones sanitarias y ambientales básicas en los lugares de trabajo&quot;" xr:uid="{00000000-0004-0000-0900-000000000000}"/>
  </hyperlinks>
  <pageMargins left="0.7" right="0.7" top="0.75" bottom="0.75" header="0.3" footer="0.3"/>
  <pageSetup orientation="portrait" horizontalDpi="0" verticalDpi="0"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78320-C8A9-4D82-A1E9-8DD6EBC1380B}">
  <sheetPr>
    <tabColor theme="4" tint="0.79998168889431442"/>
  </sheetPr>
  <dimension ref="A1:I27"/>
  <sheetViews>
    <sheetView workbookViewId="0">
      <selection activeCell="B1" sqref="B1"/>
    </sheetView>
  </sheetViews>
  <sheetFormatPr baseColWidth="10" defaultRowHeight="13.2" x14ac:dyDescent="0.25"/>
  <cols>
    <col min="1" max="1" width="20.33203125" customWidth="1"/>
    <col min="2" max="2" width="98.33203125" customWidth="1"/>
    <col min="3" max="3" width="20.6640625" style="18" customWidth="1"/>
    <col min="4" max="4" width="8.6640625" style="18" customWidth="1"/>
    <col min="5" max="5" width="6.88671875" customWidth="1"/>
    <col min="6" max="6" width="6.44140625" customWidth="1"/>
    <col min="7" max="7" width="8" customWidth="1"/>
    <col min="8" max="8" width="16" customWidth="1"/>
  </cols>
  <sheetData>
    <row r="1" spans="1:9" s="1" customFormat="1" ht="15" customHeight="1" x14ac:dyDescent="0.25">
      <c r="A1" s="32" t="s">
        <v>33</v>
      </c>
      <c r="B1" s="1" t="s">
        <v>897</v>
      </c>
      <c r="C1" s="245" t="s">
        <v>320</v>
      </c>
      <c r="D1" s="245"/>
      <c r="E1" s="245"/>
      <c r="F1" s="245"/>
      <c r="G1" s="245"/>
      <c r="H1" s="246"/>
    </row>
    <row r="2" spans="1:9" s="1" customFormat="1" ht="15" customHeight="1" x14ac:dyDescent="0.25">
      <c r="A2" s="32" t="s">
        <v>35</v>
      </c>
      <c r="B2" s="40">
        <f>AVERAGE(D4:G62)</f>
        <v>1</v>
      </c>
      <c r="C2" s="142"/>
      <c r="D2" s="142"/>
      <c r="E2" s="142"/>
      <c r="F2" s="142"/>
      <c r="G2" s="142"/>
      <c r="H2" s="143"/>
    </row>
    <row r="3" spans="1:9" s="1" customFormat="1" ht="24.75" customHeight="1" x14ac:dyDescent="0.25">
      <c r="A3" s="37" t="s">
        <v>25</v>
      </c>
      <c r="B3" s="37" t="s">
        <v>26</v>
      </c>
      <c r="C3" s="33" t="s">
        <v>19</v>
      </c>
      <c r="D3" s="33" t="s">
        <v>27</v>
      </c>
      <c r="E3" s="33" t="s">
        <v>36</v>
      </c>
      <c r="F3" s="33" t="s">
        <v>28</v>
      </c>
      <c r="G3" s="33" t="s">
        <v>12</v>
      </c>
      <c r="H3" s="33" t="s">
        <v>296</v>
      </c>
    </row>
    <row r="4" spans="1:9" s="1" customFormat="1" ht="110.4" x14ac:dyDescent="0.25">
      <c r="A4" s="13" t="s">
        <v>745</v>
      </c>
      <c r="B4" s="93" t="s">
        <v>744</v>
      </c>
      <c r="C4" s="53" t="s">
        <v>330</v>
      </c>
      <c r="D4" s="30">
        <v>1</v>
      </c>
      <c r="E4" s="3"/>
      <c r="F4" s="3"/>
      <c r="G4" s="4"/>
      <c r="H4" s="4" t="s">
        <v>605</v>
      </c>
    </row>
    <row r="5" spans="1:9" s="7" customFormat="1" ht="69" x14ac:dyDescent="0.25">
      <c r="A5" s="13" t="s">
        <v>247</v>
      </c>
      <c r="B5" s="94" t="s">
        <v>246</v>
      </c>
      <c r="C5" s="53" t="s">
        <v>330</v>
      </c>
      <c r="D5" s="30">
        <v>1</v>
      </c>
      <c r="E5" s="6"/>
      <c r="F5" s="6"/>
      <c r="G5" s="53"/>
      <c r="H5" s="4" t="s">
        <v>605</v>
      </c>
      <c r="I5" s="7" t="s">
        <v>896</v>
      </c>
    </row>
    <row r="6" spans="1:9" s="7" customFormat="1" ht="96.6" x14ac:dyDescent="0.25">
      <c r="A6" s="151" t="s">
        <v>746</v>
      </c>
      <c r="B6" s="166" t="s">
        <v>747</v>
      </c>
      <c r="C6" s="167"/>
      <c r="D6" s="152"/>
      <c r="E6" s="168"/>
      <c r="F6" s="168"/>
      <c r="G6" s="167"/>
      <c r="H6" s="158"/>
    </row>
    <row r="7" spans="1:9" ht="54" customHeight="1" x14ac:dyDescent="0.3">
      <c r="A7" s="169" t="s">
        <v>749</v>
      </c>
      <c r="B7" s="9" t="s">
        <v>748</v>
      </c>
      <c r="C7" s="92" t="s">
        <v>330</v>
      </c>
      <c r="D7" s="30">
        <v>1</v>
      </c>
      <c r="E7" s="55"/>
      <c r="F7" s="55"/>
      <c r="G7" s="55"/>
      <c r="H7" s="4" t="s">
        <v>605</v>
      </c>
    </row>
    <row r="8" spans="1:9" ht="47.25" customHeight="1" x14ac:dyDescent="0.25">
      <c r="A8" s="169" t="s">
        <v>750</v>
      </c>
      <c r="B8" s="9" t="s">
        <v>751</v>
      </c>
      <c r="C8" s="4" t="s">
        <v>370</v>
      </c>
      <c r="D8" s="30">
        <v>1</v>
      </c>
      <c r="E8" s="55"/>
      <c r="F8" s="55"/>
      <c r="G8" s="55"/>
      <c r="H8" s="4" t="s">
        <v>425</v>
      </c>
    </row>
    <row r="9" spans="1:9" ht="62.25" customHeight="1" x14ac:dyDescent="0.25">
      <c r="A9" s="127" t="s">
        <v>752</v>
      </c>
      <c r="B9" s="9" t="s">
        <v>248</v>
      </c>
      <c r="C9" s="4" t="s">
        <v>341</v>
      </c>
      <c r="D9" s="30">
        <v>1</v>
      </c>
      <c r="E9" s="55"/>
      <c r="F9" s="55"/>
      <c r="G9" s="55"/>
      <c r="H9" s="4" t="s">
        <v>289</v>
      </c>
    </row>
    <row r="10" spans="1:9" ht="62.25" customHeight="1" x14ac:dyDescent="0.25">
      <c r="A10" s="170" t="s">
        <v>754</v>
      </c>
      <c r="B10" s="149" t="s">
        <v>753</v>
      </c>
      <c r="C10" s="158"/>
      <c r="D10" s="152"/>
      <c r="E10" s="171"/>
      <c r="F10" s="171"/>
      <c r="G10" s="171"/>
      <c r="H10" s="158"/>
    </row>
    <row r="11" spans="1:9" ht="69" x14ac:dyDescent="0.25">
      <c r="A11" s="169" t="s">
        <v>755</v>
      </c>
      <c r="B11" s="9" t="s">
        <v>756</v>
      </c>
      <c r="C11" s="4" t="s">
        <v>370</v>
      </c>
      <c r="D11" s="30">
        <v>1</v>
      </c>
      <c r="E11" s="55"/>
      <c r="F11" s="55"/>
      <c r="G11" s="55"/>
      <c r="H11" s="4" t="s">
        <v>425</v>
      </c>
    </row>
    <row r="12" spans="1:9" ht="41.4" x14ac:dyDescent="0.25">
      <c r="A12" s="169" t="s">
        <v>757</v>
      </c>
      <c r="B12" s="9" t="s">
        <v>249</v>
      </c>
      <c r="C12" s="4" t="s">
        <v>370</v>
      </c>
      <c r="D12" s="30">
        <v>1</v>
      </c>
      <c r="E12" s="55"/>
      <c r="F12" s="55"/>
      <c r="G12" s="55"/>
      <c r="H12" s="4" t="s">
        <v>425</v>
      </c>
    </row>
    <row r="13" spans="1:9" ht="55.2" x14ac:dyDescent="0.25">
      <c r="A13" s="172" t="s">
        <v>758</v>
      </c>
      <c r="B13" s="149" t="s">
        <v>759</v>
      </c>
      <c r="C13" s="4"/>
      <c r="D13" s="30"/>
      <c r="E13" s="55"/>
      <c r="F13" s="55"/>
      <c r="G13" s="55"/>
      <c r="H13" s="4"/>
    </row>
    <row r="14" spans="1:9" ht="45" customHeight="1" x14ac:dyDescent="0.25">
      <c r="A14" s="169" t="s">
        <v>761</v>
      </c>
      <c r="B14" s="9" t="s">
        <v>760</v>
      </c>
      <c r="C14" s="4" t="s">
        <v>370</v>
      </c>
      <c r="D14" s="30">
        <v>1</v>
      </c>
      <c r="E14" s="55"/>
      <c r="F14" s="55"/>
      <c r="G14" s="55"/>
      <c r="H14" s="4" t="s">
        <v>425</v>
      </c>
    </row>
    <row r="15" spans="1:9" ht="41.4" x14ac:dyDescent="0.25">
      <c r="A15" s="169" t="s">
        <v>762</v>
      </c>
      <c r="B15" s="9" t="s">
        <v>250</v>
      </c>
      <c r="C15" s="4" t="s">
        <v>370</v>
      </c>
      <c r="D15" s="30">
        <v>1</v>
      </c>
      <c r="E15" s="55"/>
      <c r="F15" s="55"/>
      <c r="G15" s="55"/>
      <c r="H15" s="4" t="s">
        <v>425</v>
      </c>
    </row>
    <row r="16" spans="1:9" ht="42.75" customHeight="1" x14ac:dyDescent="0.25">
      <c r="A16" s="169" t="s">
        <v>764</v>
      </c>
      <c r="B16" s="9" t="s">
        <v>763</v>
      </c>
      <c r="C16" s="4" t="s">
        <v>338</v>
      </c>
      <c r="D16" s="30">
        <v>1</v>
      </c>
      <c r="E16" s="55"/>
      <c r="F16" s="55"/>
      <c r="G16" s="55"/>
      <c r="H16" s="4" t="s">
        <v>337</v>
      </c>
    </row>
    <row r="17" spans="1:8" ht="51.75" customHeight="1" x14ac:dyDescent="0.25">
      <c r="A17" s="169" t="s">
        <v>765</v>
      </c>
      <c r="B17" s="9" t="s">
        <v>251</v>
      </c>
      <c r="C17" s="4" t="s">
        <v>338</v>
      </c>
      <c r="D17" s="30">
        <v>1</v>
      </c>
      <c r="E17" s="55"/>
      <c r="F17" s="55"/>
      <c r="G17" s="55"/>
      <c r="H17" s="4" t="s">
        <v>337</v>
      </c>
    </row>
    <row r="18" spans="1:8" ht="82.8" x14ac:dyDescent="0.25">
      <c r="A18" s="169" t="s">
        <v>767</v>
      </c>
      <c r="B18" s="9" t="s">
        <v>766</v>
      </c>
      <c r="C18" s="4" t="s">
        <v>341</v>
      </c>
      <c r="D18" s="30">
        <v>1</v>
      </c>
      <c r="E18" s="55"/>
      <c r="F18" s="55"/>
      <c r="G18" s="55"/>
      <c r="H18" s="4" t="s">
        <v>290</v>
      </c>
    </row>
    <row r="19" spans="1:8" ht="39.75" customHeight="1" x14ac:dyDescent="0.25">
      <c r="A19" s="169" t="s">
        <v>768</v>
      </c>
      <c r="B19" s="9" t="s">
        <v>252</v>
      </c>
      <c r="C19" s="4" t="s">
        <v>341</v>
      </c>
      <c r="D19" s="30">
        <v>1</v>
      </c>
      <c r="E19" s="55"/>
      <c r="F19" s="55"/>
      <c r="G19" s="55"/>
      <c r="H19" s="4" t="s">
        <v>337</v>
      </c>
    </row>
    <row r="20" spans="1:8" ht="33.75" customHeight="1" x14ac:dyDescent="0.25">
      <c r="A20" s="169" t="s">
        <v>770</v>
      </c>
      <c r="B20" s="9" t="s">
        <v>769</v>
      </c>
      <c r="C20" s="4" t="s">
        <v>339</v>
      </c>
      <c r="D20" s="30">
        <v>1</v>
      </c>
      <c r="E20" s="55"/>
      <c r="F20" s="55"/>
      <c r="G20" s="55"/>
      <c r="H20" s="4" t="s">
        <v>291</v>
      </c>
    </row>
    <row r="21" spans="1:8" ht="124.2" x14ac:dyDescent="0.25">
      <c r="A21" s="169" t="s">
        <v>771</v>
      </c>
      <c r="B21" s="13" t="s">
        <v>772</v>
      </c>
      <c r="C21" s="4" t="s">
        <v>339</v>
      </c>
      <c r="D21" s="30">
        <v>1</v>
      </c>
      <c r="E21" s="55"/>
      <c r="F21" s="55"/>
      <c r="G21" s="55"/>
      <c r="H21" s="4" t="s">
        <v>292</v>
      </c>
    </row>
    <row r="22" spans="1:8" ht="46.5" customHeight="1" x14ac:dyDescent="0.25">
      <c r="A22" s="169" t="s">
        <v>773</v>
      </c>
      <c r="B22" s="9" t="s">
        <v>253</v>
      </c>
      <c r="C22" s="4" t="s">
        <v>341</v>
      </c>
      <c r="D22" s="30">
        <v>1</v>
      </c>
      <c r="E22" s="55"/>
      <c r="F22" s="55"/>
      <c r="G22" s="55"/>
      <c r="H22" s="4" t="s">
        <v>337</v>
      </c>
    </row>
    <row r="23" spans="1:8" ht="48" customHeight="1" x14ac:dyDescent="0.25">
      <c r="A23" s="169" t="s">
        <v>774</v>
      </c>
      <c r="B23" s="9" t="s">
        <v>254</v>
      </c>
      <c r="C23" s="4" t="s">
        <v>341</v>
      </c>
      <c r="D23" s="30">
        <v>1</v>
      </c>
      <c r="E23" s="55"/>
      <c r="F23" s="55"/>
      <c r="G23" s="55"/>
      <c r="H23" s="4" t="s">
        <v>337</v>
      </c>
    </row>
    <row r="24" spans="1:8" ht="54.75" customHeight="1" x14ac:dyDescent="0.3">
      <c r="A24" s="12" t="s">
        <v>775</v>
      </c>
      <c r="B24" s="9" t="s">
        <v>255</v>
      </c>
      <c r="C24" s="4" t="s">
        <v>339</v>
      </c>
      <c r="D24" s="30">
        <v>1</v>
      </c>
      <c r="E24" s="38"/>
      <c r="F24" s="38"/>
      <c r="G24" s="38"/>
      <c r="H24" s="4" t="s">
        <v>292</v>
      </c>
    </row>
    <row r="25" spans="1:8" ht="46.5" customHeight="1" x14ac:dyDescent="0.3">
      <c r="A25" s="12" t="s">
        <v>777</v>
      </c>
      <c r="B25" s="9" t="s">
        <v>776</v>
      </c>
      <c r="C25" s="4" t="s">
        <v>339</v>
      </c>
      <c r="D25" s="30">
        <v>1</v>
      </c>
      <c r="E25" s="38"/>
      <c r="F25" s="38"/>
      <c r="G25" s="38"/>
      <c r="H25" s="4" t="s">
        <v>291</v>
      </c>
    </row>
    <row r="26" spans="1:8" ht="48.75" customHeight="1" x14ac:dyDescent="0.3">
      <c r="A26" s="12" t="s">
        <v>778</v>
      </c>
      <c r="B26" s="9" t="s">
        <v>257</v>
      </c>
      <c r="C26" s="4" t="s">
        <v>340</v>
      </c>
      <c r="D26" s="30">
        <v>1</v>
      </c>
      <c r="E26" s="38"/>
      <c r="F26" s="38"/>
      <c r="G26" s="38"/>
      <c r="H26" s="4" t="s">
        <v>337</v>
      </c>
    </row>
    <row r="27" spans="1:8" ht="60" customHeight="1" x14ac:dyDescent="0.3">
      <c r="A27" s="12" t="s">
        <v>779</v>
      </c>
      <c r="B27" s="9" t="s">
        <v>256</v>
      </c>
      <c r="C27" s="4" t="s">
        <v>341</v>
      </c>
      <c r="D27" s="30">
        <v>1</v>
      </c>
      <c r="E27" s="38"/>
      <c r="F27" s="38"/>
      <c r="G27" s="38"/>
      <c r="H27" s="4" t="s">
        <v>426</v>
      </c>
    </row>
  </sheetData>
  <mergeCells count="1">
    <mergeCell ref="C1:H1"/>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58D6B-D18A-4F85-B778-E466B6B78042}">
  <sheetPr>
    <tabColor theme="4" tint="0.79998168889431442"/>
  </sheetPr>
  <dimension ref="A1:H4"/>
  <sheetViews>
    <sheetView workbookViewId="0"/>
  </sheetViews>
  <sheetFormatPr baseColWidth="10" defaultRowHeight="13.2" x14ac:dyDescent="0.25"/>
  <cols>
    <col min="1" max="1" width="22.5546875" customWidth="1"/>
    <col min="2" max="2" width="87.6640625" bestFit="1" customWidth="1"/>
    <col min="3" max="3" width="20.6640625" customWidth="1"/>
    <col min="8" max="8" width="24.109375" customWidth="1"/>
  </cols>
  <sheetData>
    <row r="1" spans="1:8" ht="31.95" customHeight="1" x14ac:dyDescent="0.25">
      <c r="A1" s="32" t="s">
        <v>33</v>
      </c>
      <c r="B1" s="138" t="s">
        <v>669</v>
      </c>
      <c r="C1" s="245" t="s">
        <v>320</v>
      </c>
      <c r="D1" s="245"/>
      <c r="E1" s="245"/>
      <c r="F1" s="245"/>
      <c r="G1" s="245"/>
      <c r="H1" s="246"/>
    </row>
    <row r="2" spans="1:8" s="1" customFormat="1" ht="15" customHeight="1" x14ac:dyDescent="0.25">
      <c r="A2" s="32" t="s">
        <v>35</v>
      </c>
      <c r="B2" s="40">
        <f>AVERAGE(D4:G59)</f>
        <v>1</v>
      </c>
      <c r="C2" s="142"/>
      <c r="D2" s="142"/>
      <c r="E2" s="142"/>
      <c r="F2" s="142"/>
      <c r="G2" s="142"/>
      <c r="H2" s="143"/>
    </row>
    <row r="3" spans="1:8" ht="27.6" x14ac:dyDescent="0.25">
      <c r="A3" s="37" t="s">
        <v>25</v>
      </c>
      <c r="B3" s="37" t="s">
        <v>26</v>
      </c>
      <c r="C3" s="33" t="s">
        <v>19</v>
      </c>
      <c r="D3" s="33" t="s">
        <v>27</v>
      </c>
      <c r="E3" s="33" t="s">
        <v>36</v>
      </c>
      <c r="F3" s="33" t="s">
        <v>28</v>
      </c>
      <c r="G3" s="33" t="s">
        <v>12</v>
      </c>
      <c r="H3" s="33" t="s">
        <v>296</v>
      </c>
    </row>
    <row r="4" spans="1:8" s="1" customFormat="1" ht="110.4" x14ac:dyDescent="0.25">
      <c r="A4" s="4" t="s">
        <v>258</v>
      </c>
      <c r="B4" s="5" t="s">
        <v>780</v>
      </c>
      <c r="C4" s="5" t="s">
        <v>511</v>
      </c>
      <c r="D4" s="30">
        <v>1</v>
      </c>
      <c r="E4" s="3"/>
      <c r="F4" s="3"/>
      <c r="G4" s="4"/>
      <c r="H4" s="4" t="s">
        <v>427</v>
      </c>
    </row>
  </sheetData>
  <mergeCells count="1">
    <mergeCell ref="C1:H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5DC65-34E5-41E9-B201-AC05078E4BBE}">
  <sheetPr>
    <tabColor theme="4" tint="0.79998168889431442"/>
  </sheetPr>
  <dimension ref="A1:H5"/>
  <sheetViews>
    <sheetView workbookViewId="0"/>
  </sheetViews>
  <sheetFormatPr baseColWidth="10" defaultRowHeight="13.2" x14ac:dyDescent="0.25"/>
  <cols>
    <col min="1" max="1" width="16.33203125" bestFit="1" customWidth="1"/>
    <col min="2" max="2" width="80.5546875" customWidth="1"/>
    <col min="3" max="3" width="20.6640625" customWidth="1"/>
    <col min="4" max="4" width="7" bestFit="1" customWidth="1"/>
    <col min="5" max="5" width="6" bestFit="1" customWidth="1"/>
    <col min="6" max="6" width="9.6640625" bestFit="1" customWidth="1"/>
    <col min="7" max="7" width="4.33203125" bestFit="1" customWidth="1"/>
    <col min="8" max="8" width="23.5546875" bestFit="1" customWidth="1"/>
  </cols>
  <sheetData>
    <row r="1" spans="1:8" ht="28.95" customHeight="1" x14ac:dyDescent="0.25">
      <c r="A1" s="32" t="s">
        <v>33</v>
      </c>
      <c r="B1" s="130" t="s">
        <v>672</v>
      </c>
      <c r="C1" s="245" t="s">
        <v>320</v>
      </c>
      <c r="D1" s="245"/>
      <c r="E1" s="245"/>
      <c r="F1" s="245"/>
      <c r="G1" s="245"/>
      <c r="H1" s="246"/>
    </row>
    <row r="2" spans="1:8" s="1" customFormat="1" ht="15" customHeight="1" x14ac:dyDescent="0.25">
      <c r="A2" s="32" t="s">
        <v>35</v>
      </c>
      <c r="B2" s="40">
        <f>AVERAGE(D4:G59)</f>
        <v>1</v>
      </c>
      <c r="C2" s="142"/>
      <c r="D2" s="142"/>
      <c r="E2" s="142"/>
      <c r="F2" s="142"/>
      <c r="G2" s="142"/>
      <c r="H2" s="143"/>
    </row>
    <row r="3" spans="1:8" s="1" customFormat="1" ht="27.6" x14ac:dyDescent="0.25">
      <c r="A3" s="33" t="s">
        <v>25</v>
      </c>
      <c r="B3" s="33" t="s">
        <v>26</v>
      </c>
      <c r="C3" s="33" t="s">
        <v>19</v>
      </c>
      <c r="D3" s="33" t="s">
        <v>27</v>
      </c>
      <c r="E3" s="33" t="s">
        <v>36</v>
      </c>
      <c r="F3" s="33" t="s">
        <v>28</v>
      </c>
      <c r="G3" s="33" t="s">
        <v>12</v>
      </c>
      <c r="H3" s="33" t="s">
        <v>296</v>
      </c>
    </row>
    <row r="4" spans="1:8" ht="69" x14ac:dyDescent="0.25">
      <c r="A4" s="10" t="s">
        <v>783</v>
      </c>
      <c r="B4" s="5" t="s">
        <v>670</v>
      </c>
      <c r="C4" s="5" t="s">
        <v>341</v>
      </c>
      <c r="D4" s="30">
        <v>1</v>
      </c>
      <c r="E4" s="4"/>
      <c r="F4" s="4"/>
      <c r="G4" s="4"/>
      <c r="H4" s="13" t="s">
        <v>673</v>
      </c>
    </row>
    <row r="5" spans="1:8" ht="25.5" customHeight="1" x14ac:dyDescent="0.25">
      <c r="A5" s="10" t="s">
        <v>784</v>
      </c>
      <c r="B5" s="5" t="s">
        <v>671</v>
      </c>
      <c r="C5" s="5" t="s">
        <v>341</v>
      </c>
      <c r="D5" s="30">
        <v>1</v>
      </c>
      <c r="E5" s="10"/>
      <c r="F5" s="10"/>
      <c r="G5" s="10"/>
      <c r="H5" s="13" t="s">
        <v>393</v>
      </c>
    </row>
  </sheetData>
  <mergeCells count="1">
    <mergeCell ref="C1:H1"/>
  </mergeCells>
  <hyperlinks>
    <hyperlink ref="B1" location="RESUMEN!A1" display="D 44, APRUEBA REGLAMENTO QUE ESTABLECE REQUISITOS DE SEGURIDAD Y ROTULACIÓN DE EXTINTORES PORTÁTILES" xr:uid="{2B9676CC-DFA1-49F0-9D3C-946994C28C17}"/>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79998168889431442"/>
  </sheetPr>
  <dimension ref="A1:H5"/>
  <sheetViews>
    <sheetView showGridLines="0" zoomScaleNormal="100" workbookViewId="0">
      <selection activeCell="B5" sqref="B5"/>
    </sheetView>
  </sheetViews>
  <sheetFormatPr baseColWidth="10" defaultRowHeight="13.2" x14ac:dyDescent="0.25"/>
  <cols>
    <col min="1" max="1" width="17.5546875" customWidth="1"/>
    <col min="2" max="2" width="88.88671875" bestFit="1" customWidth="1"/>
    <col min="3" max="3" width="20.6640625" customWidth="1"/>
    <col min="8" max="8" width="23.33203125" customWidth="1"/>
  </cols>
  <sheetData>
    <row r="1" spans="1:8" ht="25.5" customHeight="1" x14ac:dyDescent="0.25">
      <c r="A1" s="32" t="s">
        <v>33</v>
      </c>
      <c r="B1" s="61" t="s">
        <v>442</v>
      </c>
      <c r="C1" s="245" t="s">
        <v>320</v>
      </c>
      <c r="D1" s="245"/>
      <c r="E1" s="245"/>
      <c r="F1" s="245"/>
      <c r="G1" s="245"/>
      <c r="H1" s="246"/>
    </row>
    <row r="2" spans="1:8" ht="13.8" x14ac:dyDescent="0.25">
      <c r="A2" s="32" t="s">
        <v>34</v>
      </c>
      <c r="B2" s="14">
        <v>44832</v>
      </c>
      <c r="C2" s="250"/>
      <c r="D2" s="250"/>
      <c r="E2" s="250"/>
      <c r="F2" s="250"/>
      <c r="G2" s="250"/>
      <c r="H2" s="251"/>
    </row>
    <row r="3" spans="1:8" ht="13.8" x14ac:dyDescent="0.25">
      <c r="A3" s="32" t="s">
        <v>35</v>
      </c>
      <c r="B3" s="58">
        <f>AVERAGE(D5:G5)</f>
        <v>1</v>
      </c>
      <c r="C3" s="248"/>
      <c r="D3" s="248"/>
      <c r="E3" s="248"/>
      <c r="F3" s="248"/>
      <c r="G3" s="248"/>
      <c r="H3" s="249"/>
    </row>
    <row r="4" spans="1:8" ht="27.6" x14ac:dyDescent="0.25">
      <c r="A4" s="33" t="s">
        <v>25</v>
      </c>
      <c r="B4" s="33" t="s">
        <v>26</v>
      </c>
      <c r="C4" s="33" t="s">
        <v>19</v>
      </c>
      <c r="D4" s="33" t="s">
        <v>27</v>
      </c>
      <c r="E4" s="33" t="s">
        <v>36</v>
      </c>
      <c r="F4" s="33" t="s">
        <v>28</v>
      </c>
      <c r="G4" s="33" t="s">
        <v>12</v>
      </c>
      <c r="H4" s="33" t="s">
        <v>296</v>
      </c>
    </row>
    <row r="5" spans="1:8" s="1" customFormat="1" ht="80.25" customHeight="1" x14ac:dyDescent="0.25">
      <c r="A5" s="4" t="s">
        <v>261</v>
      </c>
      <c r="B5" s="5" t="s">
        <v>9</v>
      </c>
      <c r="C5" s="5" t="s">
        <v>368</v>
      </c>
      <c r="D5" s="30">
        <v>1</v>
      </c>
      <c r="E5" s="4"/>
      <c r="F5" s="4"/>
      <c r="G5" s="4"/>
      <c r="H5" s="13" t="s">
        <v>428</v>
      </c>
    </row>
  </sheetData>
  <mergeCells count="1">
    <mergeCell ref="C1:H3"/>
  </mergeCells>
  <hyperlinks>
    <hyperlink ref="B1" location="RESUMEN!A1" display="APRUEBA REGLAMENTO PARA APLICACION DE ARTICULOS 15 Y 16 DE LEY Nº16.744, SOBRE EXENCIONES, REBAJAS Y RECARGOS DE LA COTIZACION ADICIONAL DIFERENCIADA" xr:uid="{00000000-0004-0000-0D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5"/>
  <sheetViews>
    <sheetView showGridLines="0" zoomScale="85" zoomScaleNormal="90" workbookViewId="0">
      <selection activeCell="B1" sqref="B1"/>
    </sheetView>
  </sheetViews>
  <sheetFormatPr baseColWidth="10" defaultRowHeight="13.2" x14ac:dyDescent="0.25"/>
  <cols>
    <col min="1" max="1" width="18.33203125" bestFit="1" customWidth="1"/>
    <col min="2" max="2" width="85.33203125" bestFit="1" customWidth="1"/>
    <col min="3" max="3" width="20.6640625" customWidth="1"/>
    <col min="8" max="8" width="28.88671875" customWidth="1"/>
  </cols>
  <sheetData>
    <row r="1" spans="1:8" ht="30.75" customHeight="1" x14ac:dyDescent="0.25">
      <c r="A1" s="32" t="s">
        <v>33</v>
      </c>
      <c r="B1" s="77" t="s">
        <v>363</v>
      </c>
      <c r="C1" s="245" t="s">
        <v>320</v>
      </c>
      <c r="D1" s="245"/>
      <c r="E1" s="245"/>
      <c r="F1" s="245"/>
      <c r="G1" s="245"/>
      <c r="H1" s="246"/>
    </row>
    <row r="2" spans="1:8" ht="13.8" x14ac:dyDescent="0.25">
      <c r="A2" s="32" t="s">
        <v>35</v>
      </c>
      <c r="B2" s="58">
        <f>AVERAGE(D4:G4)</f>
        <v>1</v>
      </c>
      <c r="C2" s="248"/>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54.75" customHeight="1" x14ac:dyDescent="0.25">
      <c r="A4" s="4" t="s">
        <v>261</v>
      </c>
      <c r="B4" s="5" t="s">
        <v>284</v>
      </c>
      <c r="C4" s="5" t="s">
        <v>324</v>
      </c>
      <c r="D4" s="59"/>
      <c r="E4" s="3"/>
      <c r="F4" s="3"/>
      <c r="G4" s="59">
        <v>1</v>
      </c>
      <c r="H4" s="13" t="s">
        <v>391</v>
      </c>
    </row>
    <row r="5" spans="1:8" ht="72" customHeight="1" x14ac:dyDescent="0.25">
      <c r="A5" s="172" t="s">
        <v>713</v>
      </c>
      <c r="B5" s="173" t="s">
        <v>787</v>
      </c>
      <c r="C5" s="51"/>
      <c r="D5" s="51"/>
      <c r="E5" s="51"/>
      <c r="F5" s="51"/>
      <c r="G5" s="51"/>
      <c r="H5" s="51"/>
    </row>
  </sheetData>
  <mergeCells count="1">
    <mergeCell ref="C1:H2"/>
  </mergeCells>
  <hyperlinks>
    <hyperlink ref="B1" location="RESUMEN!A1" display="APRUEBA REGLAMENTO PARA LA APLICACION DE LA LEY Nº 20.001, QUE REGULA EL PESO MAXIMO DE CARGA HUMANA" xr:uid="{00000000-0004-0000-0F00-000000000000}"/>
  </hyperlink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6"/>
  <sheetViews>
    <sheetView showGridLines="0" zoomScale="120" zoomScaleNormal="120" workbookViewId="0"/>
  </sheetViews>
  <sheetFormatPr baseColWidth="10" defaultRowHeight="13.2" x14ac:dyDescent="0.25"/>
  <cols>
    <col min="1" max="1" width="18.33203125" bestFit="1" customWidth="1"/>
    <col min="2" max="2" width="85.33203125" bestFit="1" customWidth="1"/>
    <col min="3" max="3" width="20.6640625" customWidth="1"/>
    <col min="8" max="8" width="28.88671875" customWidth="1"/>
  </cols>
  <sheetData>
    <row r="1" spans="1:8" ht="30.75" customHeight="1" x14ac:dyDescent="0.25">
      <c r="A1" s="32" t="s">
        <v>33</v>
      </c>
      <c r="B1" s="77" t="s">
        <v>362</v>
      </c>
      <c r="C1" s="245" t="s">
        <v>320</v>
      </c>
      <c r="D1" s="245"/>
      <c r="E1" s="245"/>
      <c r="F1" s="245"/>
      <c r="G1" s="245"/>
      <c r="H1" s="246"/>
    </row>
    <row r="2" spans="1:8" ht="13.8" x14ac:dyDescent="0.25">
      <c r="A2" s="32" t="s">
        <v>35</v>
      </c>
      <c r="B2" s="58">
        <f>AVERAGE(D4:G4)</f>
        <v>1</v>
      </c>
      <c r="C2" s="248"/>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69" x14ac:dyDescent="0.25">
      <c r="A4" s="4" t="s">
        <v>261</v>
      </c>
      <c r="B4" s="5" t="s">
        <v>786</v>
      </c>
      <c r="C4" s="5" t="s">
        <v>324</v>
      </c>
      <c r="D4" s="59">
        <v>1</v>
      </c>
      <c r="E4" s="3"/>
      <c r="F4" s="3"/>
      <c r="G4" s="4" t="s">
        <v>12</v>
      </c>
      <c r="H4" s="13" t="s">
        <v>394</v>
      </c>
    </row>
    <row r="6" spans="1:8" x14ac:dyDescent="0.25">
      <c r="G6" s="17"/>
    </row>
  </sheetData>
  <mergeCells count="1">
    <mergeCell ref="C1:H2"/>
  </mergeCells>
  <hyperlinks>
    <hyperlink ref="B1" location="RESUMEN!A1" display="APRUEBA REGLAMENTO PARA LA APLICACION DE LA LEY Nº 20.001, QUE REGULA EL PESO MAXIMO DE CARGA HUMANA" xr:uid="{00000000-0004-0000-0E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79998168889431442"/>
  </sheetPr>
  <dimension ref="A1:H4"/>
  <sheetViews>
    <sheetView showGridLines="0" zoomScale="110" zoomScaleNormal="110" workbookViewId="0"/>
  </sheetViews>
  <sheetFormatPr baseColWidth="10" defaultRowHeight="13.2" x14ac:dyDescent="0.25"/>
  <cols>
    <col min="1" max="1" width="16.5546875" bestFit="1" customWidth="1"/>
    <col min="2" max="2" width="78.33203125" customWidth="1"/>
    <col min="3" max="3" width="20.6640625" customWidth="1"/>
    <col min="4" max="4" width="7" bestFit="1" customWidth="1"/>
    <col min="5" max="5" width="6" bestFit="1" customWidth="1"/>
    <col min="6" max="6" width="9.6640625" bestFit="1" customWidth="1"/>
    <col min="7" max="7" width="4.33203125" bestFit="1" customWidth="1"/>
    <col min="8" max="8" width="31.33203125" customWidth="1"/>
  </cols>
  <sheetData>
    <row r="1" spans="1:8" ht="12.75" customHeight="1" x14ac:dyDescent="0.25">
      <c r="A1" s="32" t="s">
        <v>33</v>
      </c>
      <c r="B1" s="62" t="s">
        <v>5</v>
      </c>
      <c r="C1" s="245" t="s">
        <v>320</v>
      </c>
      <c r="D1" s="245"/>
      <c r="E1" s="245"/>
      <c r="F1" s="245"/>
      <c r="G1" s="245"/>
      <c r="H1" s="246"/>
    </row>
    <row r="2" spans="1:8" ht="13.8" x14ac:dyDescent="0.25">
      <c r="A2" s="32" t="s">
        <v>35</v>
      </c>
      <c r="B2" s="58">
        <f>AVERAGE(D4:G4)</f>
        <v>1</v>
      </c>
      <c r="C2" s="248"/>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41.4" x14ac:dyDescent="0.25">
      <c r="A4" s="4" t="s">
        <v>261</v>
      </c>
      <c r="B4" s="5" t="s">
        <v>10</v>
      </c>
      <c r="C4" s="5" t="s">
        <v>341</v>
      </c>
      <c r="D4" s="30">
        <v>1</v>
      </c>
      <c r="E4" s="4"/>
      <c r="F4" s="4"/>
      <c r="G4" s="4"/>
      <c r="H4" s="13" t="s">
        <v>16</v>
      </c>
    </row>
  </sheetData>
  <mergeCells count="1">
    <mergeCell ref="C1:H2"/>
  </mergeCells>
  <hyperlinks>
    <hyperlink ref="B1" location="RESUMEN!A1" display="NCH Nº 1411" xr:uid="{00000000-0004-0000-10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79998168889431442"/>
  </sheetPr>
  <dimension ref="A1:H5"/>
  <sheetViews>
    <sheetView showGridLines="0" topLeftCell="A3" zoomScaleNormal="100" workbookViewId="0"/>
  </sheetViews>
  <sheetFormatPr baseColWidth="10" defaultRowHeight="13.2" x14ac:dyDescent="0.25"/>
  <cols>
    <col min="1" max="1" width="16.5546875" bestFit="1" customWidth="1"/>
    <col min="2" max="2" width="74.5546875" customWidth="1"/>
    <col min="3" max="3" width="20.6640625" customWidth="1"/>
    <col min="8" max="8" width="30.33203125" customWidth="1"/>
  </cols>
  <sheetData>
    <row r="1" spans="1:8" ht="12.75" customHeight="1" x14ac:dyDescent="0.25">
      <c r="A1" s="32" t="s">
        <v>33</v>
      </c>
      <c r="B1" s="34" t="s">
        <v>0</v>
      </c>
      <c r="C1" s="245" t="s">
        <v>320</v>
      </c>
      <c r="D1" s="245"/>
      <c r="E1" s="245"/>
      <c r="F1" s="245"/>
      <c r="G1" s="245"/>
      <c r="H1" s="246"/>
    </row>
    <row r="2" spans="1:8" ht="13.8" x14ac:dyDescent="0.25">
      <c r="A2" s="32" t="s">
        <v>35</v>
      </c>
      <c r="B2" s="76">
        <f>AVERAGE(D4:G4)</f>
        <v>1</v>
      </c>
      <c r="C2" s="248"/>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82.8" x14ac:dyDescent="0.25">
      <c r="A4" s="4" t="s">
        <v>262</v>
      </c>
      <c r="B4" s="5" t="s">
        <v>574</v>
      </c>
      <c r="C4" s="5" t="s">
        <v>336</v>
      </c>
      <c r="D4" s="59">
        <v>1</v>
      </c>
      <c r="E4" s="3"/>
      <c r="F4" s="3"/>
      <c r="G4" s="4"/>
      <c r="H4" s="13" t="s">
        <v>293</v>
      </c>
    </row>
    <row r="5" spans="1:8" ht="39.6" x14ac:dyDescent="0.25">
      <c r="A5" s="171" t="s">
        <v>267</v>
      </c>
      <c r="B5" s="174" t="s">
        <v>792</v>
      </c>
      <c r="C5" s="171"/>
      <c r="D5" s="171"/>
      <c r="E5" s="171"/>
      <c r="F5" s="171"/>
      <c r="G5" s="171"/>
      <c r="H5" s="171"/>
    </row>
  </sheetData>
  <mergeCells count="1">
    <mergeCell ref="C1:H2"/>
  </mergeCells>
  <hyperlinks>
    <hyperlink ref="B1" location="RESUMEN!A1" display="Ley 20005 Tipifica y sanciona el acoso sexual" xr:uid="{00000000-0004-0000-11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4" tint="0.79998168889431442"/>
  </sheetPr>
  <dimension ref="A1:H6"/>
  <sheetViews>
    <sheetView showGridLines="0" zoomScale="85" zoomScaleNormal="85" workbookViewId="0"/>
  </sheetViews>
  <sheetFormatPr baseColWidth="10" defaultRowHeight="13.2" x14ac:dyDescent="0.25"/>
  <cols>
    <col min="1" max="1" width="16.5546875" bestFit="1" customWidth="1"/>
    <col min="2" max="2" width="79.109375" bestFit="1" customWidth="1"/>
    <col min="3" max="3" width="20.6640625" customWidth="1"/>
    <col min="8" max="8" width="44.109375" customWidth="1"/>
  </cols>
  <sheetData>
    <row r="1" spans="1:8" ht="26.25" customHeight="1" x14ac:dyDescent="0.25">
      <c r="A1" s="32" t="s">
        <v>33</v>
      </c>
      <c r="B1" s="74" t="s">
        <v>6</v>
      </c>
      <c r="C1" s="245" t="s">
        <v>320</v>
      </c>
      <c r="D1" s="245"/>
      <c r="E1" s="245"/>
      <c r="F1" s="245"/>
      <c r="G1" s="245"/>
      <c r="H1" s="246"/>
    </row>
    <row r="2" spans="1:8" ht="13.8" x14ac:dyDescent="0.25">
      <c r="A2" s="32" t="s">
        <v>35</v>
      </c>
      <c r="B2" s="76">
        <f>AVERAGE(D5:G6)</f>
        <v>0.5</v>
      </c>
      <c r="C2" s="142"/>
      <c r="D2" s="142"/>
      <c r="E2" s="142"/>
      <c r="F2" s="142"/>
      <c r="G2" s="142"/>
      <c r="H2" s="143"/>
    </row>
    <row r="3" spans="1:8" ht="27.6" x14ac:dyDescent="0.25">
      <c r="A3" s="33" t="s">
        <v>25</v>
      </c>
      <c r="B3" s="33" t="s">
        <v>26</v>
      </c>
      <c r="C3" s="33" t="s">
        <v>19</v>
      </c>
      <c r="D3" s="33" t="s">
        <v>27</v>
      </c>
      <c r="E3" s="33" t="s">
        <v>36</v>
      </c>
      <c r="F3" s="33" t="s">
        <v>28</v>
      </c>
      <c r="G3" s="33" t="s">
        <v>12</v>
      </c>
      <c r="H3" s="33" t="s">
        <v>296</v>
      </c>
    </row>
    <row r="4" spans="1:8" ht="69" x14ac:dyDescent="0.25">
      <c r="A4" s="157" t="s">
        <v>259</v>
      </c>
      <c r="B4" s="157" t="s">
        <v>794</v>
      </c>
      <c r="C4" s="175" t="s">
        <v>306</v>
      </c>
      <c r="D4" s="89"/>
      <c r="E4" s="89"/>
      <c r="F4" s="89"/>
      <c r="G4" s="89"/>
      <c r="H4" s="89"/>
    </row>
    <row r="5" spans="1:8" ht="151.80000000000001" x14ac:dyDescent="0.25">
      <c r="A5" s="4" t="s">
        <v>651</v>
      </c>
      <c r="B5" s="5" t="s">
        <v>652</v>
      </c>
      <c r="C5" s="5" t="s">
        <v>306</v>
      </c>
      <c r="D5" s="59">
        <v>0</v>
      </c>
      <c r="E5" s="3"/>
      <c r="F5" s="59"/>
      <c r="G5" s="4"/>
      <c r="H5" s="13" t="s">
        <v>653</v>
      </c>
    </row>
    <row r="6" spans="1:8" ht="96.6" x14ac:dyDescent="0.25">
      <c r="A6" s="4" t="s">
        <v>264</v>
      </c>
      <c r="B6" s="5" t="s">
        <v>263</v>
      </c>
      <c r="C6" s="5" t="s">
        <v>306</v>
      </c>
      <c r="D6" s="59">
        <v>1</v>
      </c>
      <c r="E6" s="3"/>
      <c r="F6" s="3"/>
      <c r="G6" s="4"/>
      <c r="H6" s="13" t="s">
        <v>395</v>
      </c>
    </row>
  </sheetData>
  <mergeCells count="1">
    <mergeCell ref="C1:H1"/>
  </mergeCells>
  <hyperlinks>
    <hyperlink ref="B1" location="RESUMEN!A1" display="Ley 20096 Establece Mecanismos de Control Aplicables a las Sustancias Agotadoras de la Capa de Ozono" xr:uid="{00000000-0004-0000-1300-000000000000}"/>
  </hyperlink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4" tint="0.79998168889431442"/>
  </sheetPr>
  <dimension ref="A1:H4"/>
  <sheetViews>
    <sheetView showGridLines="0" zoomScaleNormal="100" workbookViewId="0"/>
  </sheetViews>
  <sheetFormatPr baseColWidth="10" defaultRowHeight="13.2" x14ac:dyDescent="0.25"/>
  <cols>
    <col min="1" max="1" width="34.109375" bestFit="1" customWidth="1"/>
    <col min="2" max="2" width="47.33203125" bestFit="1" customWidth="1"/>
    <col min="3" max="3" width="20.6640625" customWidth="1"/>
    <col min="8" max="8" width="23.88671875" customWidth="1"/>
  </cols>
  <sheetData>
    <row r="1" spans="1:8" ht="12.75" customHeight="1" x14ac:dyDescent="0.25">
      <c r="A1" s="32" t="s">
        <v>33</v>
      </c>
      <c r="B1" s="34" t="s">
        <v>1</v>
      </c>
      <c r="C1" s="245" t="s">
        <v>320</v>
      </c>
      <c r="D1" s="245"/>
      <c r="E1" s="245"/>
      <c r="F1" s="245"/>
      <c r="G1" s="245"/>
      <c r="H1" s="246"/>
    </row>
    <row r="2" spans="1:8" ht="13.8" x14ac:dyDescent="0.25">
      <c r="A2" s="32" t="s">
        <v>35</v>
      </c>
      <c r="B2" s="76">
        <f>AVERAGE(D4:G4)</f>
        <v>1</v>
      </c>
      <c r="C2" s="248"/>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27.6" x14ac:dyDescent="0.25">
      <c r="A4" s="4" t="s">
        <v>266</v>
      </c>
      <c r="B4" s="8" t="s">
        <v>640</v>
      </c>
      <c r="C4" s="8" t="s">
        <v>341</v>
      </c>
      <c r="D4" s="59">
        <v>1</v>
      </c>
      <c r="E4" s="3"/>
      <c r="F4" s="59"/>
      <c r="G4" s="4"/>
      <c r="H4" s="13" t="s">
        <v>512</v>
      </c>
    </row>
  </sheetData>
  <mergeCells count="1">
    <mergeCell ref="C1:H2"/>
  </mergeCells>
  <hyperlinks>
    <hyperlink ref="B1" location="RESUMEN!A1" display="D.S. Nº 18 Certificacion de Calidad de EPP" xr:uid="{00000000-0004-0000-14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tint="0.79998168889431442"/>
  </sheetPr>
  <dimension ref="A1:H7"/>
  <sheetViews>
    <sheetView showGridLines="0" zoomScaleNormal="100" workbookViewId="0"/>
  </sheetViews>
  <sheetFormatPr baseColWidth="10" defaultRowHeight="13.2" x14ac:dyDescent="0.25"/>
  <cols>
    <col min="1" max="1" width="28" bestFit="1" customWidth="1"/>
    <col min="2" max="2" width="50" bestFit="1" customWidth="1"/>
    <col min="3" max="3" width="20.6640625" customWidth="1"/>
    <col min="5" max="5" width="14.6640625" customWidth="1"/>
    <col min="8" max="8" width="25.6640625" customWidth="1"/>
  </cols>
  <sheetData>
    <row r="1" spans="1:8" ht="25.5" customHeight="1" x14ac:dyDescent="0.25">
      <c r="A1" s="32" t="s">
        <v>33</v>
      </c>
      <c r="B1" s="62" t="s">
        <v>7</v>
      </c>
      <c r="C1" s="245" t="s">
        <v>320</v>
      </c>
      <c r="D1" s="245"/>
      <c r="E1" s="245"/>
      <c r="F1" s="245"/>
      <c r="G1" s="245"/>
      <c r="H1" s="246"/>
    </row>
    <row r="2" spans="1:8" ht="13.8" x14ac:dyDescent="0.25">
      <c r="A2" s="32" t="s">
        <v>35</v>
      </c>
      <c r="B2" s="58">
        <f>AVERAGE(D4:G4)</f>
        <v>1</v>
      </c>
      <c r="C2" s="248"/>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13.8" x14ac:dyDescent="0.25">
      <c r="A4" s="4"/>
      <c r="B4" s="8" t="s">
        <v>8</v>
      </c>
      <c r="C4" s="4" t="s">
        <v>341</v>
      </c>
      <c r="D4" s="59">
        <v>1</v>
      </c>
      <c r="E4" s="3"/>
      <c r="F4" s="3"/>
      <c r="G4" s="4"/>
      <c r="H4" s="63" t="s">
        <v>429</v>
      </c>
    </row>
    <row r="5" spans="1:8" ht="41.4" x14ac:dyDescent="0.25">
      <c r="A5" s="177" t="s">
        <v>632</v>
      </c>
      <c r="B5" s="158" t="s">
        <v>798</v>
      </c>
      <c r="C5" s="55"/>
      <c r="D5" s="55"/>
      <c r="E5" s="55"/>
      <c r="F5" s="55"/>
      <c r="G5" s="55"/>
      <c r="H5" s="55"/>
    </row>
    <row r="6" spans="1:8" ht="27" customHeight="1" x14ac:dyDescent="0.25">
      <c r="B6" s="176"/>
    </row>
    <row r="7" spans="1:8" ht="27" customHeight="1" x14ac:dyDescent="0.25">
      <c r="B7" s="176" t="s">
        <v>797</v>
      </c>
    </row>
  </sheetData>
  <mergeCells count="1">
    <mergeCell ref="C1:H2"/>
  </mergeCells>
  <hyperlinks>
    <hyperlink ref="B1" location="RESUMEN!A1" display="D.S.Nº 254 Hoja de datos de seguridad de productos Quimicos" xr:uid="{00000000-0004-0000-1500-000000000000}"/>
  </hyperlinks>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4" tint="0.79998168889431442"/>
  </sheetPr>
  <dimension ref="A1:H5"/>
  <sheetViews>
    <sheetView showGridLines="0" zoomScaleNormal="100" workbookViewId="0"/>
  </sheetViews>
  <sheetFormatPr baseColWidth="10" defaultRowHeight="13.2" x14ac:dyDescent="0.25"/>
  <cols>
    <col min="1" max="1" width="31.33203125" bestFit="1" customWidth="1"/>
    <col min="2" max="2" width="33.109375" customWidth="1"/>
    <col min="3" max="3" width="20.6640625" customWidth="1"/>
    <col min="8" max="8" width="30" customWidth="1"/>
  </cols>
  <sheetData>
    <row r="1" spans="1:8" ht="25.5" customHeight="1" x14ac:dyDescent="0.25">
      <c r="A1" s="32" t="s">
        <v>33</v>
      </c>
      <c r="B1" s="62" t="s">
        <v>18</v>
      </c>
      <c r="C1" s="245" t="s">
        <v>320</v>
      </c>
      <c r="D1" s="245"/>
      <c r="E1" s="245"/>
      <c r="F1" s="245"/>
      <c r="G1" s="245"/>
      <c r="H1" s="246"/>
    </row>
    <row r="2" spans="1:8" ht="13.8" x14ac:dyDescent="0.25">
      <c r="A2" s="32" t="s">
        <v>35</v>
      </c>
      <c r="B2" s="58">
        <f>AVERAGE(D4:G4)</f>
        <v>1</v>
      </c>
      <c r="C2" s="248"/>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27.6" x14ac:dyDescent="0.25">
      <c r="A4" s="4" t="s">
        <v>267</v>
      </c>
      <c r="B4" s="8" t="s">
        <v>11</v>
      </c>
      <c r="C4" s="9" t="s">
        <v>341</v>
      </c>
      <c r="D4" s="59">
        <v>1</v>
      </c>
      <c r="E4" s="3"/>
      <c r="F4" s="3"/>
      <c r="G4" s="4"/>
      <c r="H4" s="63" t="s">
        <v>657</v>
      </c>
    </row>
    <row r="5" spans="1:8" x14ac:dyDescent="0.25">
      <c r="C5" s="17" t="s">
        <v>342</v>
      </c>
    </row>
  </sheetData>
  <mergeCells count="1">
    <mergeCell ref="C1:H2"/>
  </mergeCells>
  <hyperlinks>
    <hyperlink ref="B1" location="RESUMEN!A1" display="D.S.Nº 109 Evaluaciòn de accidente de trabajo y enfermedades profesionales" xr:uid="{00000000-0004-0000-1600-000000000000}"/>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4" tint="0.79998168889431442"/>
  </sheetPr>
  <dimension ref="A1:H4"/>
  <sheetViews>
    <sheetView showGridLines="0" workbookViewId="0"/>
  </sheetViews>
  <sheetFormatPr baseColWidth="10" defaultRowHeight="13.2" x14ac:dyDescent="0.25"/>
  <cols>
    <col min="1" max="1" width="20.44140625" bestFit="1" customWidth="1"/>
    <col min="2" max="2" width="77" bestFit="1" customWidth="1"/>
    <col min="3" max="3" width="20.6640625" customWidth="1"/>
    <col min="8" max="8" width="38.44140625" customWidth="1"/>
  </cols>
  <sheetData>
    <row r="1" spans="1:8" ht="12.75" customHeight="1" x14ac:dyDescent="0.25">
      <c r="A1" s="32" t="s">
        <v>33</v>
      </c>
      <c r="B1" s="207" t="s">
        <v>898</v>
      </c>
      <c r="C1" s="244" t="s">
        <v>321</v>
      </c>
      <c r="D1" s="245"/>
      <c r="E1" s="245"/>
      <c r="F1" s="245"/>
      <c r="G1" s="245"/>
      <c r="H1" s="246"/>
    </row>
    <row r="2" spans="1:8" ht="13.8" x14ac:dyDescent="0.25">
      <c r="A2" s="32" t="s">
        <v>35</v>
      </c>
      <c r="B2" s="58">
        <f>AVERAGE(D4:G4)</f>
        <v>1</v>
      </c>
      <c r="C2" s="247"/>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45" customHeight="1" x14ac:dyDescent="0.25">
      <c r="A4" s="4" t="s">
        <v>267</v>
      </c>
      <c r="B4" s="8" t="s">
        <v>11</v>
      </c>
      <c r="C4" s="9" t="s">
        <v>343</v>
      </c>
      <c r="D4" s="30">
        <v>1</v>
      </c>
      <c r="E4" s="4"/>
      <c r="F4" s="4"/>
      <c r="G4" s="4"/>
      <c r="H4" s="13" t="s">
        <v>390</v>
      </c>
    </row>
  </sheetData>
  <mergeCells count="1">
    <mergeCell ref="C1:H2"/>
  </mergeCells>
  <hyperlinks>
    <hyperlink ref="B1" location="RESUMEN!A1" display="Ley Nº 20.105 del tabaco" xr:uid="{00000000-0004-0000-17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4" tint="0.79998168889431442"/>
  </sheetPr>
  <dimension ref="A1:H5"/>
  <sheetViews>
    <sheetView showGridLines="0" topLeftCell="A3" workbookViewId="0"/>
  </sheetViews>
  <sheetFormatPr baseColWidth="10" defaultRowHeight="13.2" x14ac:dyDescent="0.25"/>
  <cols>
    <col min="1" max="1" width="34" bestFit="1" customWidth="1"/>
    <col min="2" max="2" width="45.109375" customWidth="1"/>
    <col min="3" max="3" width="20.6640625" customWidth="1"/>
    <col min="8" max="8" width="31.6640625" customWidth="1"/>
  </cols>
  <sheetData>
    <row r="1" spans="1:8" ht="12.75" customHeight="1" x14ac:dyDescent="0.25">
      <c r="A1" s="32" t="s">
        <v>33</v>
      </c>
      <c r="B1" s="62" t="s">
        <v>2</v>
      </c>
      <c r="C1" s="244" t="s">
        <v>320</v>
      </c>
      <c r="D1" s="245"/>
      <c r="E1" s="245"/>
      <c r="F1" s="245"/>
      <c r="G1" s="245"/>
      <c r="H1" s="246"/>
    </row>
    <row r="2" spans="1:8" ht="13.8" x14ac:dyDescent="0.25">
      <c r="A2" s="32" t="s">
        <v>35</v>
      </c>
      <c r="B2" s="58">
        <f>AVERAGE(D4:G4)</f>
        <v>1</v>
      </c>
      <c r="C2" s="247"/>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48.75" customHeight="1" x14ac:dyDescent="0.25">
      <c r="A4" s="4" t="s">
        <v>267</v>
      </c>
      <c r="B4" s="8" t="s">
        <v>11</v>
      </c>
      <c r="C4" s="9" t="s">
        <v>344</v>
      </c>
      <c r="D4" s="59">
        <v>1</v>
      </c>
      <c r="E4" s="3"/>
      <c r="F4" s="3"/>
      <c r="G4" s="4"/>
      <c r="H4" s="13" t="s">
        <v>430</v>
      </c>
    </row>
    <row r="5" spans="1:8" ht="198" x14ac:dyDescent="0.25">
      <c r="A5" s="148" t="s">
        <v>589</v>
      </c>
      <c r="B5" s="165" t="s">
        <v>800</v>
      </c>
      <c r="C5" s="51"/>
      <c r="D5" s="51"/>
      <c r="E5" s="51"/>
      <c r="F5" s="51"/>
      <c r="G5" s="51"/>
      <c r="H5" s="51"/>
    </row>
  </sheetData>
  <mergeCells count="1">
    <mergeCell ref="C1:H2"/>
  </mergeCells>
  <hyperlinks>
    <hyperlink ref="B1" location="RESUMEN!A1" display="Ley Nº 20.047 Establece permiso Paternal" xr:uid="{00000000-0004-0000-1800-000000000000}"/>
  </hyperlink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72"/>
  <sheetViews>
    <sheetView showGridLines="0" zoomScale="80" zoomScaleNormal="80" workbookViewId="0"/>
  </sheetViews>
  <sheetFormatPr baseColWidth="10" defaultRowHeight="13.2" x14ac:dyDescent="0.25"/>
  <cols>
    <col min="1" max="1" width="16.88671875" bestFit="1" customWidth="1"/>
    <col min="2" max="2" width="119.5546875" customWidth="1"/>
    <col min="3" max="3" width="21.109375" bestFit="1" customWidth="1"/>
    <col min="4" max="4" width="9.5546875" customWidth="1"/>
    <col min="5" max="5" width="9.44140625" customWidth="1"/>
    <col min="6" max="6" width="9.88671875" bestFit="1" customWidth="1"/>
    <col min="7" max="7" width="6.109375" customWidth="1"/>
    <col min="8" max="8" width="21.5546875" customWidth="1"/>
  </cols>
  <sheetData>
    <row r="1" spans="1:8" s="1" customFormat="1" ht="15" customHeight="1" x14ac:dyDescent="0.25">
      <c r="A1" s="32" t="s">
        <v>33</v>
      </c>
      <c r="B1" s="41" t="s">
        <v>111</v>
      </c>
      <c r="C1" s="244" t="s">
        <v>320</v>
      </c>
      <c r="D1" s="245"/>
      <c r="E1" s="245"/>
      <c r="F1" s="245"/>
      <c r="G1" s="245"/>
      <c r="H1" s="246"/>
    </row>
    <row r="2" spans="1:8" s="1" customFormat="1" ht="15" customHeight="1" x14ac:dyDescent="0.25">
      <c r="A2" s="32" t="s">
        <v>35</v>
      </c>
      <c r="B2" s="40">
        <f>AVERAGE(D7:G15)</f>
        <v>1</v>
      </c>
      <c r="C2" s="247"/>
      <c r="D2" s="248"/>
      <c r="E2" s="248"/>
      <c r="F2" s="248"/>
      <c r="G2" s="248"/>
      <c r="H2" s="249"/>
    </row>
    <row r="3" spans="1:8" s="1" customFormat="1" ht="24.75" customHeight="1" x14ac:dyDescent="0.25">
      <c r="A3" s="33" t="s">
        <v>25</v>
      </c>
      <c r="B3" s="33" t="s">
        <v>26</v>
      </c>
      <c r="C3" s="33" t="s">
        <v>19</v>
      </c>
      <c r="D3" s="33" t="s">
        <v>27</v>
      </c>
      <c r="E3" s="33" t="s">
        <v>36</v>
      </c>
      <c r="F3" s="33" t="s">
        <v>28</v>
      </c>
      <c r="G3" s="33" t="s">
        <v>12</v>
      </c>
      <c r="H3" s="33" t="s">
        <v>296</v>
      </c>
    </row>
    <row r="4" spans="1:8" s="1" customFormat="1" ht="55.2" x14ac:dyDescent="0.25">
      <c r="A4" s="157" t="s">
        <v>713</v>
      </c>
      <c r="B4" s="157" t="s">
        <v>802</v>
      </c>
      <c r="C4" s="89"/>
      <c r="D4" s="89"/>
      <c r="E4" s="89"/>
      <c r="F4" s="89"/>
      <c r="G4" s="89"/>
      <c r="H4" s="89"/>
    </row>
    <row r="5" spans="1:8" s="1" customFormat="1" ht="55.2" x14ac:dyDescent="0.25">
      <c r="A5" s="157" t="s">
        <v>531</v>
      </c>
      <c r="B5" s="157" t="s">
        <v>803</v>
      </c>
      <c r="C5" s="89"/>
      <c r="D5" s="89"/>
      <c r="E5" s="89"/>
      <c r="F5" s="89"/>
      <c r="G5" s="89"/>
      <c r="H5" s="89"/>
    </row>
    <row r="6" spans="1:8" s="1" customFormat="1" ht="409.6" x14ac:dyDescent="0.25">
      <c r="A6" s="4" t="s">
        <v>303</v>
      </c>
      <c r="B6" s="5" t="s">
        <v>304</v>
      </c>
      <c r="C6" s="4" t="s">
        <v>341</v>
      </c>
      <c r="D6" s="59">
        <v>1</v>
      </c>
      <c r="E6" s="3"/>
      <c r="F6" s="3"/>
      <c r="G6" s="3" t="s">
        <v>12</v>
      </c>
      <c r="H6" s="4" t="s">
        <v>521</v>
      </c>
    </row>
    <row r="7" spans="1:8" s="1" customFormat="1" ht="35.25" customHeight="1" x14ac:dyDescent="0.25">
      <c r="A7" s="11" t="s">
        <v>113</v>
      </c>
      <c r="B7" s="35" t="s">
        <v>125</v>
      </c>
      <c r="C7" s="4" t="s">
        <v>361</v>
      </c>
      <c r="D7" s="67">
        <v>1</v>
      </c>
      <c r="E7" s="11"/>
      <c r="F7" s="11"/>
      <c r="G7" s="11"/>
      <c r="H7" s="4" t="s">
        <v>599</v>
      </c>
    </row>
    <row r="8" spans="1:8" ht="38.25" customHeight="1" x14ac:dyDescent="0.25">
      <c r="A8" s="11" t="s">
        <v>641</v>
      </c>
      <c r="B8" s="35" t="s">
        <v>112</v>
      </c>
      <c r="C8" s="4" t="s">
        <v>361</v>
      </c>
      <c r="D8" s="67">
        <v>1</v>
      </c>
      <c r="E8" s="42"/>
      <c r="F8" s="42"/>
      <c r="G8" s="42"/>
      <c r="H8" s="4" t="s">
        <v>599</v>
      </c>
    </row>
    <row r="9" spans="1:8" ht="62.25" customHeight="1" x14ac:dyDescent="0.25">
      <c r="A9" s="11" t="s">
        <v>642</v>
      </c>
      <c r="B9" s="5" t="s">
        <v>24</v>
      </c>
      <c r="C9" s="4" t="s">
        <v>361</v>
      </c>
      <c r="D9" s="67">
        <v>1</v>
      </c>
      <c r="E9" s="42"/>
      <c r="F9" s="42"/>
      <c r="G9" s="42"/>
      <c r="H9" s="4" t="s">
        <v>599</v>
      </c>
    </row>
    <row r="10" spans="1:8" ht="54" customHeight="1" x14ac:dyDescent="0.25">
      <c r="A10" s="15" t="s">
        <v>114</v>
      </c>
      <c r="B10" s="35" t="s">
        <v>124</v>
      </c>
      <c r="C10" s="4" t="s">
        <v>361</v>
      </c>
      <c r="D10" s="67">
        <v>1</v>
      </c>
      <c r="E10" s="42"/>
      <c r="F10" s="42"/>
      <c r="G10" s="42"/>
      <c r="H10" s="4" t="s">
        <v>600</v>
      </c>
    </row>
    <row r="11" spans="1:8" ht="36" customHeight="1" x14ac:dyDescent="0.25">
      <c r="A11" s="15" t="s">
        <v>29</v>
      </c>
      <c r="B11" s="35" t="s">
        <v>123</v>
      </c>
      <c r="C11" s="4" t="s">
        <v>361</v>
      </c>
      <c r="D11" s="67">
        <v>1</v>
      </c>
      <c r="E11" s="42"/>
      <c r="F11" s="42"/>
      <c r="G11" s="42"/>
      <c r="H11" s="4" t="s">
        <v>599</v>
      </c>
    </row>
    <row r="12" spans="1:8" ht="78" customHeight="1" x14ac:dyDescent="0.25">
      <c r="A12" s="15" t="s">
        <v>115</v>
      </c>
      <c r="B12" s="35" t="s">
        <v>122</v>
      </c>
      <c r="C12" s="4" t="s">
        <v>361</v>
      </c>
      <c r="D12" s="67">
        <v>1</v>
      </c>
      <c r="E12" s="42"/>
      <c r="F12" s="42"/>
      <c r="G12" s="42"/>
      <c r="H12" s="4" t="s">
        <v>599</v>
      </c>
    </row>
    <row r="13" spans="1:8" ht="73.5" customHeight="1" x14ac:dyDescent="0.25">
      <c r="A13" s="15" t="s">
        <v>116</v>
      </c>
      <c r="B13" s="35" t="s">
        <v>121</v>
      </c>
      <c r="C13" s="4" t="s">
        <v>361</v>
      </c>
      <c r="D13" s="67">
        <v>1</v>
      </c>
      <c r="E13" s="42"/>
      <c r="F13" s="42"/>
      <c r="G13" s="42"/>
      <c r="H13" s="4" t="s">
        <v>599</v>
      </c>
    </row>
    <row r="14" spans="1:8" ht="33" customHeight="1" x14ac:dyDescent="0.25">
      <c r="A14" s="15" t="s">
        <v>117</v>
      </c>
      <c r="B14" s="5" t="s">
        <v>120</v>
      </c>
      <c r="C14" s="4" t="s">
        <v>361</v>
      </c>
      <c r="D14" s="67">
        <v>1</v>
      </c>
      <c r="E14" s="42"/>
      <c r="F14" s="42"/>
      <c r="G14" s="42"/>
      <c r="H14" s="4" t="s">
        <v>599</v>
      </c>
    </row>
    <row r="15" spans="1:8" ht="26.25" customHeight="1" x14ac:dyDescent="0.25">
      <c r="A15" s="15" t="s">
        <v>118</v>
      </c>
      <c r="B15" s="5" t="s">
        <v>119</v>
      </c>
      <c r="C15" s="4" t="s">
        <v>361</v>
      </c>
      <c r="D15" s="67">
        <v>1</v>
      </c>
      <c r="E15" s="42"/>
      <c r="F15" s="42"/>
      <c r="G15" s="42"/>
      <c r="H15" s="4" t="s">
        <v>599</v>
      </c>
    </row>
    <row r="16" spans="1:8" ht="13.8" x14ac:dyDescent="0.3">
      <c r="B16" s="43"/>
      <c r="C16" s="43"/>
    </row>
    <row r="17" spans="2:3" ht="13.8" x14ac:dyDescent="0.3">
      <c r="B17" s="43"/>
      <c r="C17" s="43"/>
    </row>
    <row r="18" spans="2:3" ht="13.8" x14ac:dyDescent="0.3">
      <c r="B18" s="43"/>
      <c r="C18" s="43"/>
    </row>
    <row r="19" spans="2:3" x14ac:dyDescent="0.25">
      <c r="B19" s="44"/>
      <c r="C19" s="44"/>
    </row>
    <row r="20" spans="2:3" x14ac:dyDescent="0.25">
      <c r="B20" s="44"/>
      <c r="C20" s="44"/>
    </row>
    <row r="21" spans="2:3" x14ac:dyDescent="0.25">
      <c r="B21" s="44"/>
      <c r="C21" s="44"/>
    </row>
    <row r="22" spans="2:3" x14ac:dyDescent="0.25">
      <c r="B22" s="44"/>
      <c r="C22" s="44"/>
    </row>
    <row r="23" spans="2:3" x14ac:dyDescent="0.25">
      <c r="B23" s="44"/>
      <c r="C23" s="44"/>
    </row>
    <row r="24" spans="2:3" x14ac:dyDescent="0.25">
      <c r="B24" s="44"/>
      <c r="C24" s="44"/>
    </row>
    <row r="25" spans="2:3" x14ac:dyDescent="0.25">
      <c r="B25" s="44"/>
      <c r="C25" s="44"/>
    </row>
    <row r="26" spans="2:3" x14ac:dyDescent="0.25">
      <c r="B26" s="44"/>
      <c r="C26" s="44"/>
    </row>
    <row r="27" spans="2:3" x14ac:dyDescent="0.25">
      <c r="B27" s="44"/>
      <c r="C27" s="44"/>
    </row>
    <row r="28" spans="2:3" x14ac:dyDescent="0.25">
      <c r="B28" s="44"/>
      <c r="C28" s="44"/>
    </row>
    <row r="29" spans="2:3" x14ac:dyDescent="0.25">
      <c r="B29" s="44"/>
      <c r="C29" s="44"/>
    </row>
    <row r="30" spans="2:3" x14ac:dyDescent="0.25">
      <c r="B30" s="44"/>
      <c r="C30" s="44"/>
    </row>
    <row r="31" spans="2:3" x14ac:dyDescent="0.25">
      <c r="B31" s="44"/>
      <c r="C31" s="44"/>
    </row>
    <row r="32" spans="2:3" x14ac:dyDescent="0.25">
      <c r="B32" s="44"/>
      <c r="C32" s="44"/>
    </row>
    <row r="33" spans="2:3" x14ac:dyDescent="0.25">
      <c r="B33" s="44"/>
      <c r="C33" s="44"/>
    </row>
    <row r="34" spans="2:3" x14ac:dyDescent="0.25">
      <c r="B34" s="44"/>
      <c r="C34" s="44"/>
    </row>
    <row r="35" spans="2:3" x14ac:dyDescent="0.25">
      <c r="B35" s="44"/>
      <c r="C35" s="44"/>
    </row>
    <row r="36" spans="2:3" x14ac:dyDescent="0.25">
      <c r="B36" s="44"/>
      <c r="C36" s="44"/>
    </row>
    <row r="37" spans="2:3" x14ac:dyDescent="0.25">
      <c r="B37" s="44"/>
      <c r="C37" s="44"/>
    </row>
    <row r="38" spans="2:3" x14ac:dyDescent="0.25">
      <c r="B38" s="44"/>
      <c r="C38" s="44"/>
    </row>
    <row r="39" spans="2:3" x14ac:dyDescent="0.25">
      <c r="B39" s="44"/>
      <c r="C39" s="44"/>
    </row>
    <row r="40" spans="2:3" x14ac:dyDescent="0.25">
      <c r="B40" s="44"/>
      <c r="C40" s="44"/>
    </row>
    <row r="41" spans="2:3" x14ac:dyDescent="0.25">
      <c r="B41" s="44"/>
      <c r="C41" s="44"/>
    </row>
    <row r="42" spans="2:3" x14ac:dyDescent="0.25">
      <c r="B42" s="44"/>
      <c r="C42" s="44"/>
    </row>
    <row r="43" spans="2:3" x14ac:dyDescent="0.25">
      <c r="B43" s="44"/>
      <c r="C43" s="44"/>
    </row>
    <row r="44" spans="2:3" x14ac:dyDescent="0.25">
      <c r="B44" s="44"/>
      <c r="C44" s="44"/>
    </row>
    <row r="45" spans="2:3" x14ac:dyDescent="0.25">
      <c r="B45" s="44"/>
      <c r="C45" s="44"/>
    </row>
    <row r="46" spans="2:3" x14ac:dyDescent="0.25">
      <c r="B46" s="44"/>
      <c r="C46" s="44"/>
    </row>
    <row r="47" spans="2:3" x14ac:dyDescent="0.25">
      <c r="B47" s="44"/>
      <c r="C47" s="44"/>
    </row>
    <row r="48" spans="2:3" x14ac:dyDescent="0.25">
      <c r="B48" s="44"/>
      <c r="C48" s="44"/>
    </row>
    <row r="49" spans="2:3" x14ac:dyDescent="0.25">
      <c r="B49" s="44"/>
      <c r="C49" s="44"/>
    </row>
    <row r="50" spans="2:3" x14ac:dyDescent="0.25">
      <c r="B50" s="44"/>
      <c r="C50" s="44"/>
    </row>
    <row r="51" spans="2:3" x14ac:dyDescent="0.25">
      <c r="B51" s="44"/>
      <c r="C51" s="44"/>
    </row>
    <row r="52" spans="2:3" x14ac:dyDescent="0.25">
      <c r="B52" s="44"/>
      <c r="C52" s="44"/>
    </row>
    <row r="53" spans="2:3" x14ac:dyDescent="0.25">
      <c r="B53" s="44"/>
      <c r="C53" s="44"/>
    </row>
    <row r="54" spans="2:3" x14ac:dyDescent="0.25">
      <c r="B54" s="44"/>
      <c r="C54" s="44"/>
    </row>
    <row r="55" spans="2:3" x14ac:dyDescent="0.25">
      <c r="B55" s="44"/>
      <c r="C55" s="44"/>
    </row>
    <row r="56" spans="2:3" x14ac:dyDescent="0.25">
      <c r="B56" s="44"/>
      <c r="C56" s="44"/>
    </row>
    <row r="57" spans="2:3" x14ac:dyDescent="0.25">
      <c r="B57" s="44"/>
      <c r="C57" s="44"/>
    </row>
    <row r="58" spans="2:3" x14ac:dyDescent="0.25">
      <c r="B58" s="44"/>
      <c r="C58" s="44"/>
    </row>
    <row r="59" spans="2:3" x14ac:dyDescent="0.25">
      <c r="B59" s="44"/>
      <c r="C59" s="44"/>
    </row>
    <row r="60" spans="2:3" x14ac:dyDescent="0.25">
      <c r="B60" s="44"/>
      <c r="C60" s="44"/>
    </row>
    <row r="61" spans="2:3" x14ac:dyDescent="0.25">
      <c r="B61" s="44"/>
      <c r="C61" s="44"/>
    </row>
    <row r="62" spans="2:3" x14ac:dyDescent="0.25">
      <c r="B62" s="44"/>
      <c r="C62" s="44"/>
    </row>
    <row r="63" spans="2:3" x14ac:dyDescent="0.25">
      <c r="B63" s="44"/>
      <c r="C63" s="44"/>
    </row>
    <row r="64" spans="2:3" x14ac:dyDescent="0.25">
      <c r="B64" s="44"/>
      <c r="C64" s="44"/>
    </row>
    <row r="65" spans="2:3" x14ac:dyDescent="0.25">
      <c r="B65" s="44"/>
      <c r="C65" s="44"/>
    </row>
    <row r="66" spans="2:3" x14ac:dyDescent="0.25">
      <c r="B66" s="44"/>
      <c r="C66" s="44"/>
    </row>
    <row r="67" spans="2:3" x14ac:dyDescent="0.25">
      <c r="B67" s="44"/>
      <c r="C67" s="44"/>
    </row>
    <row r="68" spans="2:3" x14ac:dyDescent="0.25">
      <c r="B68" s="44"/>
      <c r="C68" s="44"/>
    </row>
    <row r="69" spans="2:3" x14ac:dyDescent="0.25">
      <c r="B69" s="44"/>
      <c r="C69" s="44"/>
    </row>
    <row r="70" spans="2:3" x14ac:dyDescent="0.25">
      <c r="B70" s="44"/>
      <c r="C70" s="44"/>
    </row>
    <row r="71" spans="2:3" x14ac:dyDescent="0.25">
      <c r="B71" s="44"/>
      <c r="C71" s="44"/>
    </row>
    <row r="72" spans="2:3" x14ac:dyDescent="0.25">
      <c r="B72" s="44"/>
      <c r="C72" s="44"/>
    </row>
  </sheetData>
  <mergeCells count="1">
    <mergeCell ref="C1:H2"/>
  </mergeCells>
  <hyperlinks>
    <hyperlink ref="B1" location="RESUMEN!A1" display="DS 43 APRUEBA EL REGLAMENTO DE ALMACENAMIENTO DE SUSTANCIAS PELIGROSAS" xr:uid="{00000000-0004-0000-1900-000000000000}"/>
  </hyperlinks>
  <pageMargins left="0.7" right="0.7" top="0.75" bottom="0.75" header="0.3" footer="0.3"/>
  <pageSetup orientation="portrait"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4" tint="0.79998168889431442"/>
  </sheetPr>
  <dimension ref="A1:H15"/>
  <sheetViews>
    <sheetView showGridLines="0" zoomScale="82" zoomScaleNormal="82" workbookViewId="0">
      <pane ySplit="3" topLeftCell="A12" activePane="bottomLeft" state="frozen"/>
      <selection activeCell="B1" sqref="B1"/>
      <selection pane="bottomLeft"/>
    </sheetView>
  </sheetViews>
  <sheetFormatPr baseColWidth="10" defaultRowHeight="13.2" x14ac:dyDescent="0.25"/>
  <cols>
    <col min="1" max="1" width="20.33203125" customWidth="1"/>
    <col min="2" max="2" width="106" customWidth="1"/>
    <col min="3" max="3" width="20.6640625" customWidth="1"/>
    <col min="4" max="4" width="8.6640625" style="18" customWidth="1"/>
    <col min="5" max="7" width="8.6640625" customWidth="1"/>
    <col min="8" max="8" width="24.44140625" customWidth="1"/>
  </cols>
  <sheetData>
    <row r="1" spans="1:8" s="1" customFormat="1" ht="15" customHeight="1" x14ac:dyDescent="0.25">
      <c r="A1" s="32" t="s">
        <v>33</v>
      </c>
      <c r="B1" s="36" t="s">
        <v>110</v>
      </c>
      <c r="C1" s="244" t="s">
        <v>320</v>
      </c>
      <c r="D1" s="245"/>
      <c r="E1" s="245"/>
      <c r="F1" s="245"/>
      <c r="G1" s="245"/>
      <c r="H1" s="246"/>
    </row>
    <row r="2" spans="1:8" s="1" customFormat="1" ht="15" customHeight="1" x14ac:dyDescent="0.25">
      <c r="A2" s="32" t="s">
        <v>35</v>
      </c>
      <c r="B2" s="40">
        <f>AVERAGE(D4:G15)</f>
        <v>1</v>
      </c>
      <c r="C2" s="247"/>
      <c r="D2" s="248"/>
      <c r="E2" s="248"/>
      <c r="F2" s="248"/>
      <c r="G2" s="248"/>
      <c r="H2" s="249"/>
    </row>
    <row r="3" spans="1:8" s="1" customFormat="1" ht="34.5" customHeight="1" x14ac:dyDescent="0.25">
      <c r="A3" s="33" t="s">
        <v>25</v>
      </c>
      <c r="B3" s="33" t="s">
        <v>26</v>
      </c>
      <c r="C3" s="33" t="s">
        <v>19</v>
      </c>
      <c r="D3" s="33" t="s">
        <v>27</v>
      </c>
      <c r="E3" s="33" t="s">
        <v>36</v>
      </c>
      <c r="F3" s="33" t="s">
        <v>28</v>
      </c>
      <c r="G3" s="33" t="s">
        <v>12</v>
      </c>
      <c r="H3" s="33" t="s">
        <v>296</v>
      </c>
    </row>
    <row r="4" spans="1:8" s="1" customFormat="1" ht="48" customHeight="1" x14ac:dyDescent="0.25">
      <c r="A4" s="4" t="s">
        <v>806</v>
      </c>
      <c r="B4" s="5" t="s">
        <v>345</v>
      </c>
      <c r="C4" s="4" t="s">
        <v>327</v>
      </c>
      <c r="D4" s="30">
        <v>1</v>
      </c>
      <c r="E4" s="4"/>
      <c r="F4" s="4"/>
      <c r="G4" s="4"/>
      <c r="H4" s="13" t="s">
        <v>294</v>
      </c>
    </row>
    <row r="5" spans="1:8" s="7" customFormat="1" ht="60.75" customHeight="1" x14ac:dyDescent="0.25">
      <c r="A5" s="4" t="s">
        <v>807</v>
      </c>
      <c r="B5" s="5" t="s">
        <v>126</v>
      </c>
      <c r="C5" s="4" t="s">
        <v>327</v>
      </c>
      <c r="D5" s="30">
        <v>1</v>
      </c>
      <c r="E5" s="4"/>
      <c r="F5" s="4"/>
      <c r="G5" s="4"/>
      <c r="H5" s="13" t="s">
        <v>294</v>
      </c>
    </row>
    <row r="6" spans="1:8" s="1" customFormat="1" ht="124.2" x14ac:dyDescent="0.25">
      <c r="A6" s="4" t="s">
        <v>127</v>
      </c>
      <c r="B6" s="5" t="s">
        <v>808</v>
      </c>
      <c r="C6" s="4" t="s">
        <v>327</v>
      </c>
      <c r="D6" s="30">
        <v>1</v>
      </c>
      <c r="E6" s="4"/>
      <c r="F6" s="4"/>
      <c r="G6" s="4"/>
      <c r="H6" s="13" t="s">
        <v>294</v>
      </c>
    </row>
    <row r="7" spans="1:8" s="1" customFormat="1" ht="55.2" x14ac:dyDescent="0.25">
      <c r="A7" s="158" t="s">
        <v>809</v>
      </c>
      <c r="B7" s="150" t="s">
        <v>810</v>
      </c>
      <c r="C7" s="4"/>
      <c r="D7" s="30"/>
      <c r="E7" s="4"/>
      <c r="F7" s="4"/>
      <c r="G7" s="4"/>
      <c r="H7" s="13"/>
    </row>
    <row r="8" spans="1:8" s="1" customFormat="1" ht="96.6" x14ac:dyDescent="0.25">
      <c r="A8" s="4" t="s">
        <v>128</v>
      </c>
      <c r="B8" s="5" t="s">
        <v>811</v>
      </c>
      <c r="C8" s="4" t="s">
        <v>327</v>
      </c>
      <c r="D8" s="30">
        <v>1</v>
      </c>
      <c r="E8" s="4"/>
      <c r="F8" s="4"/>
      <c r="G8" s="4"/>
      <c r="H8" s="13" t="s">
        <v>294</v>
      </c>
    </row>
    <row r="9" spans="1:8" s="1" customFormat="1" ht="124.2" x14ac:dyDescent="0.25">
      <c r="A9" s="4" t="s">
        <v>129</v>
      </c>
      <c r="B9" s="39" t="s">
        <v>812</v>
      </c>
      <c r="C9" s="4" t="s">
        <v>371</v>
      </c>
      <c r="D9" s="30">
        <v>1</v>
      </c>
      <c r="E9" s="4"/>
      <c r="F9" s="4"/>
      <c r="G9" s="4"/>
      <c r="H9" s="13" t="s">
        <v>294</v>
      </c>
    </row>
    <row r="10" spans="1:8" s="1" customFormat="1" ht="53.25" customHeight="1" x14ac:dyDescent="0.25">
      <c r="A10" s="4" t="s">
        <v>131</v>
      </c>
      <c r="B10" s="5" t="s">
        <v>130</v>
      </c>
      <c r="C10" s="4" t="s">
        <v>327</v>
      </c>
      <c r="D10" s="30">
        <v>1</v>
      </c>
      <c r="E10" s="4"/>
      <c r="F10" s="4"/>
      <c r="G10" s="4"/>
      <c r="H10" s="13" t="s">
        <v>294</v>
      </c>
    </row>
    <row r="11" spans="1:8" s="1" customFormat="1" ht="82.8" x14ac:dyDescent="0.25">
      <c r="A11" s="4" t="s">
        <v>132</v>
      </c>
      <c r="B11" s="5" t="s">
        <v>813</v>
      </c>
      <c r="C11" s="4" t="s">
        <v>371</v>
      </c>
      <c r="D11" s="30">
        <v>1</v>
      </c>
      <c r="E11" s="4"/>
      <c r="F11" s="4"/>
      <c r="G11" s="4"/>
      <c r="H11" s="13" t="s">
        <v>294</v>
      </c>
    </row>
    <row r="12" spans="1:8" s="1" customFormat="1" ht="82.8" x14ac:dyDescent="0.25">
      <c r="A12" s="4" t="s">
        <v>133</v>
      </c>
      <c r="B12" s="5" t="s">
        <v>814</v>
      </c>
      <c r="C12" s="4" t="s">
        <v>371</v>
      </c>
      <c r="D12" s="30">
        <v>1</v>
      </c>
      <c r="E12" s="4"/>
      <c r="F12" s="4"/>
      <c r="G12" s="4"/>
      <c r="H12" s="13" t="s">
        <v>294</v>
      </c>
    </row>
    <row r="13" spans="1:8" s="1" customFormat="1" ht="41.4" x14ac:dyDescent="0.25">
      <c r="A13" s="4" t="s">
        <v>134</v>
      </c>
      <c r="B13" s="39" t="s">
        <v>815</v>
      </c>
      <c r="C13" s="118" t="s">
        <v>327</v>
      </c>
      <c r="D13" s="30">
        <v>1</v>
      </c>
      <c r="E13" s="4"/>
      <c r="F13" s="4"/>
      <c r="G13" s="4"/>
      <c r="H13" s="13" t="s">
        <v>294</v>
      </c>
    </row>
    <row r="14" spans="1:8" s="1" customFormat="1" ht="56.25" customHeight="1" x14ac:dyDescent="0.25">
      <c r="A14" s="4" t="s">
        <v>136</v>
      </c>
      <c r="B14" s="5" t="s">
        <v>135</v>
      </c>
      <c r="C14" s="4" t="s">
        <v>327</v>
      </c>
      <c r="D14" s="30">
        <v>1</v>
      </c>
      <c r="E14" s="4"/>
      <c r="F14" s="4"/>
      <c r="G14" s="4"/>
      <c r="H14" s="13" t="s">
        <v>294</v>
      </c>
    </row>
    <row r="15" spans="1:8" s="1" customFormat="1" ht="50.25" customHeight="1" x14ac:dyDescent="0.25">
      <c r="A15" s="4" t="s">
        <v>137</v>
      </c>
      <c r="B15" s="39" t="s">
        <v>138</v>
      </c>
      <c r="C15" s="118" t="s">
        <v>327</v>
      </c>
      <c r="D15" s="30">
        <v>1</v>
      </c>
      <c r="E15" s="4"/>
      <c r="F15" s="4"/>
      <c r="G15" s="4"/>
      <c r="H15" s="13" t="s">
        <v>294</v>
      </c>
    </row>
  </sheetData>
  <mergeCells count="1">
    <mergeCell ref="C1:H2"/>
  </mergeCells>
  <hyperlinks>
    <hyperlink ref="B1" location="RESUMEN!A1" display="DFL 458 APRUEBA NUEVA LEY GENERAL DE URBANISMO Y CONSTRUCCIONES" xr:uid="{00000000-0004-0000-1A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4" tint="0.79998168889431442"/>
  </sheetPr>
  <dimension ref="A1:H13"/>
  <sheetViews>
    <sheetView showGridLines="0" zoomScale="82" zoomScaleNormal="82" workbookViewId="0">
      <pane ySplit="3" topLeftCell="A11" activePane="bottomLeft" state="frozen"/>
      <selection activeCell="B1" sqref="B1"/>
      <selection pane="bottomLeft"/>
    </sheetView>
  </sheetViews>
  <sheetFormatPr baseColWidth="10" defaultRowHeight="13.2" x14ac:dyDescent="0.25"/>
  <cols>
    <col min="1" max="1" width="20.33203125" customWidth="1"/>
    <col min="2" max="2" width="106" customWidth="1"/>
    <col min="3" max="3" width="20.6640625" customWidth="1"/>
    <col min="4" max="4" width="8.6640625" style="18" customWidth="1"/>
    <col min="5" max="7" width="8.6640625" customWidth="1"/>
    <col min="8" max="8" width="20.109375" customWidth="1"/>
  </cols>
  <sheetData>
    <row r="1" spans="1:8" s="1" customFormat="1" ht="15" customHeight="1" x14ac:dyDescent="0.25">
      <c r="A1" s="32" t="s">
        <v>33</v>
      </c>
      <c r="B1" s="36" t="s">
        <v>139</v>
      </c>
      <c r="C1" s="244" t="s">
        <v>320</v>
      </c>
      <c r="D1" s="245"/>
      <c r="E1" s="245"/>
      <c r="F1" s="245"/>
      <c r="G1" s="245"/>
      <c r="H1" s="246"/>
    </row>
    <row r="2" spans="1:8" s="1" customFormat="1" ht="15" customHeight="1" x14ac:dyDescent="0.25">
      <c r="A2" s="32" t="s">
        <v>35</v>
      </c>
      <c r="B2" s="40">
        <f>AVERAGE(D4:G13)</f>
        <v>1</v>
      </c>
      <c r="C2" s="247"/>
      <c r="D2" s="248"/>
      <c r="E2" s="248"/>
      <c r="F2" s="248"/>
      <c r="G2" s="248"/>
      <c r="H2" s="249"/>
    </row>
    <row r="3" spans="1:8" s="1" customFormat="1" ht="24.75" customHeight="1" x14ac:dyDescent="0.25">
      <c r="A3" s="37" t="s">
        <v>25</v>
      </c>
      <c r="B3" s="37" t="s">
        <v>26</v>
      </c>
      <c r="C3" s="33" t="s">
        <v>19</v>
      </c>
      <c r="D3" s="33" t="s">
        <v>27</v>
      </c>
      <c r="E3" s="33" t="s">
        <v>36</v>
      </c>
      <c r="F3" s="33" t="s">
        <v>28</v>
      </c>
      <c r="G3" s="33" t="s">
        <v>12</v>
      </c>
      <c r="H3" s="33" t="s">
        <v>296</v>
      </c>
    </row>
    <row r="4" spans="1:8" s="1" customFormat="1" ht="55.2" x14ac:dyDescent="0.25">
      <c r="A4" s="4" t="s">
        <v>175</v>
      </c>
      <c r="B4" s="5" t="s">
        <v>816</v>
      </c>
      <c r="C4" s="4" t="s">
        <v>327</v>
      </c>
      <c r="D4" s="30">
        <v>1</v>
      </c>
      <c r="E4" s="4"/>
      <c r="F4" s="4"/>
      <c r="G4" s="4"/>
      <c r="H4" s="9" t="s">
        <v>387</v>
      </c>
    </row>
    <row r="5" spans="1:8" s="7" customFormat="1" ht="93.75" customHeight="1" x14ac:dyDescent="0.25">
      <c r="A5" s="4" t="s">
        <v>177</v>
      </c>
      <c r="B5" s="5" t="s">
        <v>176</v>
      </c>
      <c r="C5" s="4" t="s">
        <v>327</v>
      </c>
      <c r="D5" s="30">
        <v>1</v>
      </c>
      <c r="E5" s="4"/>
      <c r="F5" s="4"/>
      <c r="G5" s="4"/>
      <c r="H5" s="9" t="s">
        <v>387</v>
      </c>
    </row>
    <row r="6" spans="1:8" s="1" customFormat="1" ht="38.25" customHeight="1" x14ac:dyDescent="0.25">
      <c r="A6" s="4" t="s">
        <v>179</v>
      </c>
      <c r="B6" s="5" t="s">
        <v>178</v>
      </c>
      <c r="C6" s="4" t="s">
        <v>327</v>
      </c>
      <c r="D6" s="30">
        <v>1</v>
      </c>
      <c r="E6" s="4"/>
      <c r="F6" s="4"/>
      <c r="G6" s="4"/>
      <c r="H6" s="9" t="s">
        <v>387</v>
      </c>
    </row>
    <row r="7" spans="1:8" s="1" customFormat="1" ht="41.4" x14ac:dyDescent="0.25">
      <c r="A7" s="4" t="s">
        <v>817</v>
      </c>
      <c r="B7" s="5" t="s">
        <v>180</v>
      </c>
      <c r="C7" s="4" t="s">
        <v>327</v>
      </c>
      <c r="D7" s="30">
        <v>1</v>
      </c>
      <c r="E7" s="4"/>
      <c r="F7" s="4"/>
      <c r="G7" s="4"/>
      <c r="H7" s="9" t="s">
        <v>387</v>
      </c>
    </row>
    <row r="8" spans="1:8" s="1" customFormat="1" ht="27.6" x14ac:dyDescent="0.25">
      <c r="A8" s="4" t="s">
        <v>181</v>
      </c>
      <c r="B8" s="39" t="s">
        <v>182</v>
      </c>
      <c r="C8" s="4" t="s">
        <v>327</v>
      </c>
      <c r="D8" s="30">
        <v>1</v>
      </c>
      <c r="E8" s="4"/>
      <c r="F8" s="4"/>
      <c r="G8" s="4"/>
      <c r="H8" s="9" t="s">
        <v>387</v>
      </c>
    </row>
    <row r="9" spans="1:8" s="1" customFormat="1" ht="229.5" customHeight="1" x14ac:dyDescent="0.25">
      <c r="A9" s="4" t="s">
        <v>184</v>
      </c>
      <c r="B9" s="5" t="s">
        <v>183</v>
      </c>
      <c r="C9" s="4" t="s">
        <v>327</v>
      </c>
      <c r="D9" s="30">
        <v>1</v>
      </c>
      <c r="E9" s="4"/>
      <c r="F9" s="4"/>
      <c r="G9" s="4"/>
      <c r="H9" s="9" t="s">
        <v>387</v>
      </c>
    </row>
    <row r="10" spans="1:8" s="1" customFormat="1" ht="67.5" customHeight="1" x14ac:dyDescent="0.25">
      <c r="A10" s="4" t="s">
        <v>185</v>
      </c>
      <c r="B10" s="5" t="s">
        <v>187</v>
      </c>
      <c r="C10" s="4" t="s">
        <v>327</v>
      </c>
      <c r="D10" s="30">
        <v>1</v>
      </c>
      <c r="E10" s="4"/>
      <c r="F10" s="4"/>
      <c r="G10" s="4"/>
      <c r="H10" s="9" t="s">
        <v>387</v>
      </c>
    </row>
    <row r="11" spans="1:8" s="1" customFormat="1" ht="99.75" customHeight="1" x14ac:dyDescent="0.25">
      <c r="A11" s="4" t="s">
        <v>186</v>
      </c>
      <c r="B11" s="5" t="s">
        <v>188</v>
      </c>
      <c r="C11" s="4" t="s">
        <v>327</v>
      </c>
      <c r="D11" s="30">
        <v>1</v>
      </c>
      <c r="E11" s="4"/>
      <c r="F11" s="4"/>
      <c r="G11" s="4"/>
      <c r="H11" s="9" t="s">
        <v>15</v>
      </c>
    </row>
    <row r="12" spans="1:8" s="1" customFormat="1" ht="54.75" customHeight="1" x14ac:dyDescent="0.25">
      <c r="A12" s="4" t="s">
        <v>189</v>
      </c>
      <c r="B12" s="39" t="s">
        <v>190</v>
      </c>
      <c r="C12" s="4" t="s">
        <v>327</v>
      </c>
      <c r="D12" s="30">
        <v>1</v>
      </c>
      <c r="E12" s="4"/>
      <c r="F12" s="4"/>
      <c r="G12" s="4"/>
      <c r="H12" s="9" t="s">
        <v>15</v>
      </c>
    </row>
    <row r="13" spans="1:8" s="1" customFormat="1" ht="96.6" x14ac:dyDescent="0.25">
      <c r="A13" s="4" t="s">
        <v>192</v>
      </c>
      <c r="B13" s="5" t="s">
        <v>191</v>
      </c>
      <c r="C13" s="4" t="s">
        <v>327</v>
      </c>
      <c r="D13" s="30">
        <v>1</v>
      </c>
      <c r="E13" s="4"/>
      <c r="F13" s="4"/>
      <c r="G13" s="4"/>
      <c r="H13" s="9" t="s">
        <v>15</v>
      </c>
    </row>
  </sheetData>
  <mergeCells count="1">
    <mergeCell ref="C1:H2"/>
  </mergeCells>
  <hyperlinks>
    <hyperlink ref="B1" location="RESUMEN!A1" display="DFL 458 APRUEBA NUEVA LEY GENERAL DE URBANISMO Y CONSTRUCCIONES" xr:uid="{00000000-0004-0000-1B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7"/>
  <sheetViews>
    <sheetView showGridLines="0" zoomScaleNormal="100" workbookViewId="0">
      <selection activeCell="B5" sqref="B5"/>
    </sheetView>
  </sheetViews>
  <sheetFormatPr baseColWidth="10" defaultRowHeight="13.2" x14ac:dyDescent="0.25"/>
  <cols>
    <col min="1" max="1" width="20.33203125" customWidth="1"/>
    <col min="2" max="2" width="106" customWidth="1"/>
    <col min="3" max="3" width="20.6640625" customWidth="1"/>
    <col min="4" max="4" width="8.6640625" style="18" customWidth="1"/>
    <col min="5" max="7" width="8.6640625" customWidth="1"/>
    <col min="8" max="8" width="24.6640625" customWidth="1"/>
  </cols>
  <sheetData>
    <row r="1" spans="1:8" s="1" customFormat="1" ht="15" customHeight="1" x14ac:dyDescent="0.25">
      <c r="A1" s="32" t="s">
        <v>33</v>
      </c>
      <c r="B1" s="41" t="s">
        <v>170</v>
      </c>
      <c r="C1" s="244" t="s">
        <v>320</v>
      </c>
      <c r="D1" s="245"/>
      <c r="E1" s="245"/>
      <c r="F1" s="245"/>
      <c r="G1" s="245"/>
      <c r="H1" s="246"/>
    </row>
    <row r="2" spans="1:8" s="1" customFormat="1" ht="15" customHeight="1" x14ac:dyDescent="0.25">
      <c r="A2" s="32" t="s">
        <v>35</v>
      </c>
      <c r="B2" s="40">
        <f>AVERAGE(D4:G27)</f>
        <v>1</v>
      </c>
      <c r="C2" s="247"/>
      <c r="D2" s="248"/>
      <c r="E2" s="248"/>
      <c r="F2" s="248"/>
      <c r="G2" s="248"/>
      <c r="H2" s="249"/>
    </row>
    <row r="3" spans="1:8" s="1" customFormat="1" ht="38.25" customHeight="1" x14ac:dyDescent="0.25">
      <c r="A3" s="37" t="s">
        <v>25</v>
      </c>
      <c r="B3" s="37" t="s">
        <v>26</v>
      </c>
      <c r="C3" s="33" t="s">
        <v>19</v>
      </c>
      <c r="D3" s="33" t="s">
        <v>27</v>
      </c>
      <c r="E3" s="33" t="s">
        <v>36</v>
      </c>
      <c r="F3" s="33" t="s">
        <v>28</v>
      </c>
      <c r="G3" s="33" t="s">
        <v>12</v>
      </c>
      <c r="H3" s="33" t="s">
        <v>296</v>
      </c>
    </row>
    <row r="4" spans="1:8" s="1" customFormat="1" ht="58.5" customHeight="1" x14ac:dyDescent="0.25">
      <c r="A4" s="46" t="s">
        <v>824</v>
      </c>
      <c r="B4" s="47" t="s">
        <v>823</v>
      </c>
      <c r="C4" s="78" t="s">
        <v>324</v>
      </c>
      <c r="D4" s="50">
        <v>1</v>
      </c>
      <c r="E4" s="45"/>
      <c r="F4" s="45"/>
      <c r="G4" s="45"/>
      <c r="H4" s="13" t="s">
        <v>346</v>
      </c>
    </row>
    <row r="5" spans="1:8" s="1" customFormat="1" ht="151.80000000000001" x14ac:dyDescent="0.25">
      <c r="A5" s="46" t="s">
        <v>171</v>
      </c>
      <c r="B5" s="48" t="s">
        <v>825</v>
      </c>
      <c r="C5" s="78" t="s">
        <v>324</v>
      </c>
      <c r="D5" s="50">
        <v>1</v>
      </c>
      <c r="E5" s="45"/>
      <c r="F5" s="45"/>
      <c r="G5" s="45"/>
      <c r="H5" s="13" t="s">
        <v>350</v>
      </c>
    </row>
    <row r="6" spans="1:8" s="1" customFormat="1" ht="289.8" x14ac:dyDescent="0.25">
      <c r="A6" s="46" t="s">
        <v>172</v>
      </c>
      <c r="B6" s="49" t="s">
        <v>826</v>
      </c>
      <c r="C6" s="78" t="s">
        <v>324</v>
      </c>
      <c r="D6" s="50">
        <v>1</v>
      </c>
      <c r="E6" s="45"/>
      <c r="F6" s="45"/>
      <c r="G6" s="45"/>
      <c r="H6" s="13" t="s">
        <v>351</v>
      </c>
    </row>
    <row r="7" spans="1:8" s="1" customFormat="1" ht="91.5" customHeight="1" x14ac:dyDescent="0.25">
      <c r="A7" s="46" t="s">
        <v>828</v>
      </c>
      <c r="B7" s="48" t="s">
        <v>827</v>
      </c>
      <c r="C7" s="78" t="s">
        <v>324</v>
      </c>
      <c r="D7" s="50">
        <v>1</v>
      </c>
      <c r="E7" s="45"/>
      <c r="F7" s="45"/>
      <c r="G7" s="45"/>
      <c r="H7" s="13" t="s">
        <v>352</v>
      </c>
    </row>
    <row r="8" spans="1:8" s="1" customFormat="1" ht="57" customHeight="1" x14ac:dyDescent="0.25">
      <c r="A8" s="4" t="s">
        <v>141</v>
      </c>
      <c r="B8" s="5" t="s">
        <v>140</v>
      </c>
      <c r="C8" s="78" t="s">
        <v>324</v>
      </c>
      <c r="D8" s="50">
        <v>1</v>
      </c>
      <c r="E8" s="3"/>
      <c r="F8" s="3"/>
      <c r="G8" s="3"/>
      <c r="H8" s="13" t="s">
        <v>441</v>
      </c>
    </row>
    <row r="9" spans="1:8" s="1" customFormat="1" ht="92.25" customHeight="1" x14ac:dyDescent="0.25">
      <c r="A9" s="4" t="s">
        <v>143</v>
      </c>
      <c r="B9" s="5" t="s">
        <v>142</v>
      </c>
      <c r="C9" s="78" t="s">
        <v>324</v>
      </c>
      <c r="D9" s="50">
        <v>1</v>
      </c>
      <c r="E9" s="10"/>
      <c r="F9" s="10"/>
      <c r="G9" s="10"/>
      <c r="H9" s="13" t="s">
        <v>432</v>
      </c>
    </row>
    <row r="10" spans="1:8" s="1" customFormat="1" ht="89.25" customHeight="1" x14ac:dyDescent="0.25">
      <c r="A10" s="4" t="s">
        <v>145</v>
      </c>
      <c r="B10" s="5" t="s">
        <v>144</v>
      </c>
      <c r="C10" s="78" t="s">
        <v>324</v>
      </c>
      <c r="D10" s="50">
        <v>1</v>
      </c>
      <c r="E10" s="3"/>
      <c r="F10" s="3"/>
      <c r="G10" s="3"/>
      <c r="H10" s="13" t="s">
        <v>14</v>
      </c>
    </row>
    <row r="11" spans="1:8" s="1" customFormat="1" ht="83.25" customHeight="1" x14ac:dyDescent="0.25">
      <c r="A11" s="46" t="s">
        <v>830</v>
      </c>
      <c r="B11" s="48" t="s">
        <v>829</v>
      </c>
      <c r="C11" s="78" t="s">
        <v>324</v>
      </c>
      <c r="D11" s="50">
        <v>1</v>
      </c>
      <c r="E11" s="3"/>
      <c r="F11" s="3"/>
      <c r="G11" s="3"/>
      <c r="H11" s="13" t="s">
        <v>14</v>
      </c>
    </row>
    <row r="12" spans="1:8" s="1" customFormat="1" ht="84.75" customHeight="1" x14ac:dyDescent="0.25">
      <c r="A12" s="11" t="s">
        <v>169</v>
      </c>
      <c r="B12" s="5" t="s">
        <v>168</v>
      </c>
      <c r="C12" s="78" t="s">
        <v>436</v>
      </c>
      <c r="D12" s="50">
        <v>1</v>
      </c>
      <c r="E12" s="3"/>
      <c r="F12" s="3"/>
      <c r="G12" s="3"/>
      <c r="H12" s="13" t="s">
        <v>350</v>
      </c>
    </row>
    <row r="13" spans="1:8" s="1" customFormat="1" ht="83.25" customHeight="1" x14ac:dyDescent="0.25">
      <c r="A13" s="11" t="s">
        <v>167</v>
      </c>
      <c r="B13" s="5" t="s">
        <v>166</v>
      </c>
      <c r="C13" s="78" t="s">
        <v>324</v>
      </c>
      <c r="D13" s="50">
        <v>1</v>
      </c>
      <c r="E13" s="3"/>
      <c r="F13" s="3"/>
      <c r="G13" s="3"/>
      <c r="H13" s="13" t="s">
        <v>433</v>
      </c>
    </row>
    <row r="14" spans="1:8" s="1" customFormat="1" ht="72.75" customHeight="1" x14ac:dyDescent="0.25">
      <c r="A14" s="11" t="s">
        <v>165</v>
      </c>
      <c r="B14" s="5" t="s">
        <v>164</v>
      </c>
      <c r="C14" s="78" t="s">
        <v>324</v>
      </c>
      <c r="D14" s="50">
        <v>1</v>
      </c>
      <c r="E14" s="4"/>
      <c r="F14" s="4"/>
      <c r="G14" s="4"/>
      <c r="H14" s="13" t="s">
        <v>14</v>
      </c>
    </row>
    <row r="15" spans="1:8" s="7" customFormat="1" ht="84" customHeight="1" x14ac:dyDescent="0.25">
      <c r="A15" s="4" t="s">
        <v>147</v>
      </c>
      <c r="B15" s="5" t="s">
        <v>146</v>
      </c>
      <c r="C15" s="78" t="s">
        <v>324</v>
      </c>
      <c r="D15" s="50">
        <v>1</v>
      </c>
      <c r="E15" s="4"/>
      <c r="F15" s="4"/>
      <c r="G15" s="4"/>
      <c r="H15" s="13" t="s">
        <v>434</v>
      </c>
    </row>
    <row r="16" spans="1:8" s="1" customFormat="1" ht="75.75" customHeight="1" x14ac:dyDescent="0.25">
      <c r="A16" s="4" t="s">
        <v>149</v>
      </c>
      <c r="B16" s="5" t="s">
        <v>148</v>
      </c>
      <c r="C16" s="78" t="s">
        <v>436</v>
      </c>
      <c r="D16" s="50">
        <v>1</v>
      </c>
      <c r="E16" s="4"/>
      <c r="F16" s="4"/>
      <c r="G16" s="4"/>
      <c r="H16" s="13" t="s">
        <v>350</v>
      </c>
    </row>
    <row r="17" spans="1:8" s="1" customFormat="1" ht="114" customHeight="1" x14ac:dyDescent="0.25">
      <c r="A17" s="4" t="s">
        <v>158</v>
      </c>
      <c r="B17" s="5" t="s">
        <v>157</v>
      </c>
      <c r="C17" s="78" t="s">
        <v>436</v>
      </c>
      <c r="D17" s="50">
        <v>1</v>
      </c>
      <c r="E17" s="4"/>
      <c r="F17" s="4"/>
      <c r="G17" s="4"/>
      <c r="H17" s="13" t="s">
        <v>350</v>
      </c>
    </row>
    <row r="18" spans="1:8" s="1" customFormat="1" ht="113.25" customHeight="1" x14ac:dyDescent="0.25">
      <c r="A18" s="11" t="s">
        <v>162</v>
      </c>
      <c r="B18" s="5" t="s">
        <v>161</v>
      </c>
      <c r="C18" s="78" t="s">
        <v>436</v>
      </c>
      <c r="D18" s="50">
        <v>1</v>
      </c>
      <c r="E18" s="4"/>
      <c r="F18" s="4"/>
      <c r="G18" s="4"/>
      <c r="H18" s="13" t="s">
        <v>435</v>
      </c>
    </row>
    <row r="19" spans="1:8" s="1" customFormat="1" ht="55.2" x14ac:dyDescent="0.25">
      <c r="A19" s="4" t="s">
        <v>151</v>
      </c>
      <c r="B19" s="5" t="s">
        <v>150</v>
      </c>
      <c r="C19" s="78" t="s">
        <v>436</v>
      </c>
      <c r="D19" s="50">
        <v>1</v>
      </c>
      <c r="E19" s="4"/>
      <c r="F19" s="4"/>
      <c r="G19" s="4"/>
      <c r="H19" s="13" t="s">
        <v>350</v>
      </c>
    </row>
    <row r="20" spans="1:8" s="1" customFormat="1" ht="55.2" x14ac:dyDescent="0.25">
      <c r="A20" s="4" t="s">
        <v>153</v>
      </c>
      <c r="B20" s="5" t="s">
        <v>152</v>
      </c>
      <c r="C20" s="78" t="s">
        <v>436</v>
      </c>
      <c r="D20" s="50">
        <v>1</v>
      </c>
      <c r="E20" s="4"/>
      <c r="F20" s="4"/>
      <c r="G20" s="4"/>
      <c r="H20" s="13" t="s">
        <v>350</v>
      </c>
    </row>
    <row r="21" spans="1:8" s="1" customFormat="1" ht="55.2" x14ac:dyDescent="0.25">
      <c r="A21" s="4" t="s">
        <v>154</v>
      </c>
      <c r="B21" s="5" t="s">
        <v>173</v>
      </c>
      <c r="C21" s="78" t="s">
        <v>436</v>
      </c>
      <c r="D21" s="50">
        <v>1</v>
      </c>
      <c r="E21" s="4"/>
      <c r="F21" s="4"/>
      <c r="G21" s="4"/>
      <c r="H21" s="13" t="s">
        <v>350</v>
      </c>
    </row>
    <row r="22" spans="1:8" ht="69" x14ac:dyDescent="0.25">
      <c r="A22" s="11" t="s">
        <v>155</v>
      </c>
      <c r="B22" s="5" t="s">
        <v>831</v>
      </c>
      <c r="C22" s="78" t="s">
        <v>436</v>
      </c>
      <c r="D22" s="50">
        <v>1</v>
      </c>
      <c r="E22" s="10"/>
      <c r="F22" s="10"/>
      <c r="G22" s="10"/>
      <c r="H22" s="13" t="s">
        <v>350</v>
      </c>
    </row>
    <row r="23" spans="1:8" ht="104.25" customHeight="1" x14ac:dyDescent="0.25">
      <c r="A23" s="188" t="s">
        <v>156</v>
      </c>
      <c r="B23" s="182" t="s">
        <v>174</v>
      </c>
      <c r="C23" s="183" t="s">
        <v>436</v>
      </c>
      <c r="D23" s="184">
        <v>1</v>
      </c>
      <c r="E23" s="185"/>
      <c r="F23" s="185"/>
      <c r="G23" s="185"/>
      <c r="H23" s="186" t="s">
        <v>350</v>
      </c>
    </row>
    <row r="24" spans="1:8" s="181" customFormat="1" ht="96.6" x14ac:dyDescent="0.25">
      <c r="A24" s="187" t="s">
        <v>160</v>
      </c>
      <c r="B24" s="182" t="s">
        <v>159</v>
      </c>
      <c r="C24" s="183" t="s">
        <v>436</v>
      </c>
      <c r="D24" s="184">
        <v>1</v>
      </c>
      <c r="E24" s="185"/>
      <c r="F24" s="185"/>
      <c r="G24" s="185"/>
      <c r="H24" s="186" t="s">
        <v>350</v>
      </c>
    </row>
    <row r="25" spans="1:8" s="181" customFormat="1" ht="110.4" x14ac:dyDescent="0.25">
      <c r="A25" s="157" t="s">
        <v>833</v>
      </c>
      <c r="B25" s="192" t="s">
        <v>832</v>
      </c>
      <c r="C25" s="193" t="s">
        <v>436</v>
      </c>
      <c r="D25" s="189"/>
      <c r="E25" s="190"/>
      <c r="F25" s="190"/>
      <c r="G25" s="190"/>
      <c r="H25" s="191"/>
    </row>
    <row r="26" spans="1:8" s="181" customFormat="1" ht="27.6" x14ac:dyDescent="0.25">
      <c r="A26" s="157" t="s">
        <v>834</v>
      </c>
      <c r="B26" s="192" t="s">
        <v>835</v>
      </c>
      <c r="C26" s="193"/>
      <c r="D26" s="189"/>
      <c r="E26" s="190"/>
      <c r="F26" s="190"/>
      <c r="G26" s="190"/>
      <c r="H26" s="191"/>
    </row>
    <row r="27" spans="1:8" ht="69" x14ac:dyDescent="0.25">
      <c r="A27" s="11" t="s">
        <v>836</v>
      </c>
      <c r="B27" s="5" t="s">
        <v>163</v>
      </c>
      <c r="C27" s="47" t="s">
        <v>436</v>
      </c>
      <c r="D27" s="30">
        <v>1</v>
      </c>
      <c r="E27" s="10"/>
      <c r="F27" s="10"/>
      <c r="G27" s="10"/>
      <c r="H27" s="13" t="s">
        <v>350</v>
      </c>
    </row>
  </sheetData>
  <mergeCells count="1">
    <mergeCell ref="C1:H2"/>
  </mergeCells>
  <hyperlinks>
    <hyperlink ref="B1" location="RESUMEN!A1" display="D.F.L. Nº 1                                                     FIJA EL TEXTO REFUNDIDO, COORDINADO Y SISTEMATIZADO DEL CÓDIGO DEL TRABAJO" xr:uid="{00000000-0004-0000-1C00-000000000000}"/>
  </hyperlinks>
  <pageMargins left="0.7" right="0.7" top="0.75" bottom="0.75" header="0.3" footer="0.3"/>
  <pageSetup orientation="portrait" horizontalDpi="4294967292" verticalDpi="0" r:id="rId1"/>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9"/>
  <sheetViews>
    <sheetView showGridLines="0" topLeftCell="A3" workbookViewId="0"/>
  </sheetViews>
  <sheetFormatPr baseColWidth="10" defaultRowHeight="13.2" x14ac:dyDescent="0.25"/>
  <cols>
    <col min="1" max="1" width="25.33203125" customWidth="1"/>
    <col min="2" max="2" width="65.5546875" customWidth="1"/>
    <col min="3" max="3" width="20.6640625" customWidth="1"/>
    <col min="8" max="8" width="36.44140625" customWidth="1"/>
  </cols>
  <sheetData>
    <row r="1" spans="1:8" ht="12.75" customHeight="1" x14ac:dyDescent="0.25">
      <c r="A1" s="32" t="s">
        <v>33</v>
      </c>
      <c r="B1" s="34" t="s">
        <v>272</v>
      </c>
      <c r="C1" s="244" t="s">
        <v>320</v>
      </c>
      <c r="D1" s="245"/>
      <c r="E1" s="245"/>
      <c r="F1" s="245"/>
      <c r="G1" s="245"/>
      <c r="H1" s="246"/>
    </row>
    <row r="2" spans="1:8" ht="13.8" x14ac:dyDescent="0.25">
      <c r="A2" s="32" t="s">
        <v>35</v>
      </c>
      <c r="B2" s="80">
        <f>AVERAGE(D4:G4)</f>
        <v>1</v>
      </c>
      <c r="C2" s="247"/>
      <c r="D2" s="248"/>
      <c r="E2" s="248"/>
      <c r="F2" s="248"/>
      <c r="G2" s="248"/>
      <c r="H2" s="249"/>
    </row>
    <row r="3" spans="1:8" ht="27.6" x14ac:dyDescent="0.25">
      <c r="A3" s="37" t="s">
        <v>25</v>
      </c>
      <c r="B3" s="37" t="s">
        <v>26</v>
      </c>
      <c r="C3" s="33" t="s">
        <v>19</v>
      </c>
      <c r="D3" s="33" t="s">
        <v>27</v>
      </c>
      <c r="E3" s="33" t="s">
        <v>36</v>
      </c>
      <c r="F3" s="33" t="s">
        <v>28</v>
      </c>
      <c r="G3" s="33" t="s">
        <v>12</v>
      </c>
      <c r="H3" s="33" t="s">
        <v>296</v>
      </c>
    </row>
    <row r="4" spans="1:8" ht="69" x14ac:dyDescent="0.25">
      <c r="A4" s="4" t="s">
        <v>840</v>
      </c>
      <c r="B4" s="66" t="s">
        <v>273</v>
      </c>
      <c r="C4" s="66" t="s">
        <v>347</v>
      </c>
      <c r="D4" s="30">
        <v>1</v>
      </c>
      <c r="E4" s="3"/>
      <c r="F4" s="3"/>
      <c r="G4" s="3"/>
      <c r="H4" s="13" t="s">
        <v>328</v>
      </c>
    </row>
    <row r="5" spans="1:8" ht="132" x14ac:dyDescent="0.25">
      <c r="A5" s="165" t="s">
        <v>841</v>
      </c>
      <c r="B5" s="194" t="s">
        <v>842</v>
      </c>
      <c r="C5" s="172"/>
      <c r="D5" s="172"/>
      <c r="E5" s="172"/>
      <c r="F5" s="172"/>
      <c r="G5" s="172"/>
      <c r="H5" s="172"/>
    </row>
    <row r="6" spans="1:8" ht="52.8" x14ac:dyDescent="0.25">
      <c r="A6" s="165" t="s">
        <v>844</v>
      </c>
      <c r="B6" s="194" t="s">
        <v>843</v>
      </c>
      <c r="C6" s="51"/>
      <c r="D6" s="51"/>
      <c r="E6" s="51"/>
      <c r="F6" s="51"/>
      <c r="G6" s="51"/>
      <c r="H6" s="51"/>
    </row>
    <row r="7" spans="1:8" ht="66" x14ac:dyDescent="0.25">
      <c r="A7" s="165" t="s">
        <v>845</v>
      </c>
      <c r="B7" s="194" t="s">
        <v>846</v>
      </c>
      <c r="C7" s="51"/>
      <c r="D7" s="51"/>
      <c r="E7" s="51"/>
      <c r="F7" s="51"/>
      <c r="G7" s="51"/>
      <c r="H7" s="51"/>
    </row>
    <row r="8" spans="1:8" ht="132" x14ac:dyDescent="0.25">
      <c r="A8" s="165" t="s">
        <v>847</v>
      </c>
      <c r="B8" s="194" t="s">
        <v>848</v>
      </c>
      <c r="C8" s="172"/>
      <c r="D8" s="172"/>
      <c r="E8" s="172"/>
      <c r="F8" s="172"/>
      <c r="G8" s="172"/>
      <c r="H8" s="172"/>
    </row>
    <row r="9" spans="1:8" ht="39.6" x14ac:dyDescent="0.25">
      <c r="A9" s="165" t="s">
        <v>849</v>
      </c>
      <c r="B9" s="173" t="s">
        <v>850</v>
      </c>
      <c r="C9" s="172"/>
      <c r="D9" s="172"/>
      <c r="E9" s="172"/>
      <c r="F9" s="172"/>
      <c r="G9" s="172"/>
      <c r="H9" s="172"/>
    </row>
  </sheetData>
  <mergeCells count="1">
    <mergeCell ref="C1:H2"/>
  </mergeCells>
  <hyperlinks>
    <hyperlink ref="B1" location="RESUMEN!A1" display="DFL 725 CODIGO SANITARIO" xr:uid="{00000000-0004-0000-1D00-000000000000}"/>
  </hyperlinks>
  <pageMargins left="0.7" right="0.7" top="0.75" bottom="0.75" header="0.3" footer="0.3"/>
  <legacy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7"/>
  <sheetViews>
    <sheetView showGridLines="0" topLeftCell="A8" zoomScale="115" zoomScaleNormal="115" workbookViewId="0"/>
  </sheetViews>
  <sheetFormatPr baseColWidth="10" defaultColWidth="11.44140625" defaultRowHeight="13.2" x14ac:dyDescent="0.25"/>
  <cols>
    <col min="1" max="1" width="39.33203125" style="57" customWidth="1"/>
    <col min="2" max="2" width="88" style="57" customWidth="1"/>
    <col min="3" max="3" width="20.6640625" style="57" customWidth="1"/>
    <col min="4" max="7" width="11.44140625" style="57"/>
    <col min="8" max="8" width="31.109375" style="57" customWidth="1"/>
    <col min="9" max="16384" width="11.44140625" style="57"/>
  </cols>
  <sheetData>
    <row r="1" spans="1:8" ht="38.25" customHeight="1" x14ac:dyDescent="0.25">
      <c r="A1" s="32" t="s">
        <v>33</v>
      </c>
      <c r="B1" s="65" t="s">
        <v>268</v>
      </c>
      <c r="C1" s="244" t="s">
        <v>320</v>
      </c>
      <c r="D1" s="245"/>
      <c r="E1" s="245"/>
      <c r="F1" s="245"/>
      <c r="G1" s="245"/>
      <c r="H1" s="246"/>
    </row>
    <row r="2" spans="1:8" ht="13.8" x14ac:dyDescent="0.25">
      <c r="A2" s="32" t="s">
        <v>35</v>
      </c>
      <c r="B2" s="80">
        <f>AVERAGE(D5:G7)</f>
        <v>1</v>
      </c>
      <c r="C2" s="247"/>
      <c r="D2" s="248"/>
      <c r="E2" s="248"/>
      <c r="F2" s="248"/>
      <c r="G2" s="248"/>
      <c r="H2" s="249"/>
    </row>
    <row r="3" spans="1:8" ht="27.6" x14ac:dyDescent="0.25">
      <c r="A3" s="37" t="s">
        <v>25</v>
      </c>
      <c r="B3" s="37" t="s">
        <v>26</v>
      </c>
      <c r="C3" s="33" t="s">
        <v>19</v>
      </c>
      <c r="D3" s="33" t="s">
        <v>27</v>
      </c>
      <c r="E3" s="33" t="s">
        <v>36</v>
      </c>
      <c r="F3" s="33" t="s">
        <v>28</v>
      </c>
      <c r="G3" s="33" t="s">
        <v>12</v>
      </c>
      <c r="H3" s="33" t="s">
        <v>296</v>
      </c>
    </row>
    <row r="4" spans="1:8" ht="82.8" x14ac:dyDescent="0.25">
      <c r="A4" s="60" t="s">
        <v>575</v>
      </c>
      <c r="B4" s="5" t="s">
        <v>270</v>
      </c>
      <c r="C4" s="5" t="s">
        <v>324</v>
      </c>
      <c r="D4" s="69">
        <v>1</v>
      </c>
      <c r="E4" s="60"/>
      <c r="F4" s="60"/>
      <c r="G4" s="60"/>
      <c r="H4" s="70" t="s">
        <v>295</v>
      </c>
    </row>
    <row r="5" spans="1:8" ht="138" x14ac:dyDescent="0.25">
      <c r="A5" s="64" t="s">
        <v>244</v>
      </c>
      <c r="B5" s="5" t="s">
        <v>269</v>
      </c>
      <c r="C5" s="5" t="s">
        <v>327</v>
      </c>
      <c r="D5" s="69">
        <v>1</v>
      </c>
      <c r="E5" s="60"/>
      <c r="F5" s="60"/>
      <c r="G5" s="60"/>
      <c r="H5" s="70" t="s">
        <v>295</v>
      </c>
    </row>
    <row r="6" spans="1:8" ht="96.6" x14ac:dyDescent="0.25">
      <c r="A6" s="195" t="s">
        <v>576</v>
      </c>
      <c r="B6" s="5" t="s">
        <v>853</v>
      </c>
      <c r="C6" s="5" t="s">
        <v>324</v>
      </c>
      <c r="D6" s="69">
        <v>1</v>
      </c>
      <c r="E6" s="60"/>
      <c r="F6" s="60"/>
      <c r="G6" s="60"/>
      <c r="H6" s="70" t="s">
        <v>295</v>
      </c>
    </row>
    <row r="7" spans="1:8" ht="207" x14ac:dyDescent="0.25">
      <c r="A7" s="127" t="s">
        <v>852</v>
      </c>
      <c r="B7" s="5" t="s">
        <v>271</v>
      </c>
      <c r="C7" s="5" t="s">
        <v>348</v>
      </c>
      <c r="D7" s="69">
        <v>1</v>
      </c>
      <c r="E7" s="60"/>
      <c r="F7" s="60"/>
      <c r="G7" s="60"/>
      <c r="H7" s="70" t="s">
        <v>383</v>
      </c>
    </row>
  </sheetData>
  <mergeCells count="1">
    <mergeCell ref="C1:H2"/>
  </mergeCells>
  <hyperlinks>
    <hyperlink ref="B1" location="RESUMEN!A1" display="RESUMEN!A1" xr:uid="{00000000-0004-0000-1E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4"/>
  <sheetViews>
    <sheetView showGridLines="0" workbookViewId="0"/>
  </sheetViews>
  <sheetFormatPr baseColWidth="10" defaultRowHeight="13.2" x14ac:dyDescent="0.25"/>
  <cols>
    <col min="1" max="1" width="21.88671875" customWidth="1"/>
    <col min="2" max="2" width="60.44140625" customWidth="1"/>
    <col min="3" max="3" width="20.6640625" customWidth="1"/>
    <col min="8" max="8" width="39.6640625" customWidth="1"/>
  </cols>
  <sheetData>
    <row r="1" spans="1:8" ht="52.8" x14ac:dyDescent="0.25">
      <c r="A1" s="32" t="s">
        <v>33</v>
      </c>
      <c r="B1" s="71" t="s">
        <v>274</v>
      </c>
      <c r="C1" s="244" t="s">
        <v>320</v>
      </c>
      <c r="D1" s="245"/>
      <c r="E1" s="245"/>
      <c r="F1" s="245"/>
      <c r="G1" s="245"/>
      <c r="H1" s="246"/>
    </row>
    <row r="2" spans="1:8" ht="13.8" x14ac:dyDescent="0.25">
      <c r="A2" s="32" t="s">
        <v>35</v>
      </c>
      <c r="B2" s="80">
        <f>AVERAGE(D4:G4)</f>
        <v>1</v>
      </c>
      <c r="C2" s="247"/>
      <c r="D2" s="248"/>
      <c r="E2" s="248"/>
      <c r="F2" s="248"/>
      <c r="G2" s="248"/>
      <c r="H2" s="249"/>
    </row>
    <row r="3" spans="1:8" ht="27.6" x14ac:dyDescent="0.25">
      <c r="A3" s="37" t="s">
        <v>25</v>
      </c>
      <c r="B3" s="37" t="s">
        <v>26</v>
      </c>
      <c r="C3" s="33" t="s">
        <v>19</v>
      </c>
      <c r="D3" s="33" t="s">
        <v>27</v>
      </c>
      <c r="E3" s="33" t="s">
        <v>36</v>
      </c>
      <c r="F3" s="33" t="s">
        <v>28</v>
      </c>
      <c r="G3" s="33" t="s">
        <v>12</v>
      </c>
      <c r="H3" s="33" t="s">
        <v>296</v>
      </c>
    </row>
    <row r="4" spans="1:8" ht="75.75" customHeight="1" x14ac:dyDescent="0.25">
      <c r="A4" s="136" t="s">
        <v>643</v>
      </c>
      <c r="B4" s="5" t="s">
        <v>275</v>
      </c>
      <c r="C4" s="5" t="s">
        <v>341</v>
      </c>
      <c r="D4" s="69">
        <v>1</v>
      </c>
      <c r="E4" s="60"/>
      <c r="F4" s="60"/>
      <c r="G4" s="60"/>
      <c r="H4" s="70" t="s">
        <v>431</v>
      </c>
    </row>
  </sheetData>
  <mergeCells count="1">
    <mergeCell ref="C1:H2"/>
  </mergeCells>
  <hyperlinks>
    <hyperlink ref="B1" location="RESUMEN!A1" display="MODIFICA DECRETO Nº 609, DE 1998, QUE ESTABLECE NORMA DE EMISION PARA LA REGULACION DE CONTAMINANTES ASOCIADOS A LAS DESCARGAS DE RESIDUOS INDUSTRIALES LIQUIDOS A SISTEMAS DE ALCANTARILLADO" xr:uid="{00000000-0004-0000-1F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4"/>
  <sheetViews>
    <sheetView showGridLines="0" topLeftCell="A8" workbookViewId="0"/>
  </sheetViews>
  <sheetFormatPr baseColWidth="10" defaultRowHeight="13.2" x14ac:dyDescent="0.25"/>
  <cols>
    <col min="1" max="1" width="21.88671875" customWidth="1"/>
    <col min="2" max="2" width="60.44140625" customWidth="1"/>
    <col min="3" max="3" width="20.6640625" customWidth="1"/>
    <col min="8" max="8" width="39.6640625" customWidth="1"/>
  </cols>
  <sheetData>
    <row r="1" spans="1:8" ht="38.25" customHeight="1" x14ac:dyDescent="0.25">
      <c r="A1" s="32" t="s">
        <v>33</v>
      </c>
      <c r="B1" s="71" t="s">
        <v>277</v>
      </c>
      <c r="C1" s="244" t="s">
        <v>320</v>
      </c>
      <c r="D1" s="245"/>
      <c r="E1" s="245"/>
      <c r="F1" s="245"/>
      <c r="G1" s="245"/>
      <c r="H1" s="246"/>
    </row>
    <row r="2" spans="1:8" ht="13.8" x14ac:dyDescent="0.25">
      <c r="A2" s="32" t="s">
        <v>35</v>
      </c>
      <c r="B2" s="80">
        <f>AVERAGE(D4:G4)</f>
        <v>1</v>
      </c>
      <c r="C2" s="247"/>
      <c r="D2" s="248"/>
      <c r="E2" s="248"/>
      <c r="F2" s="248"/>
      <c r="G2" s="248"/>
      <c r="H2" s="249"/>
    </row>
    <row r="3" spans="1:8" ht="27.6" x14ac:dyDescent="0.25">
      <c r="A3" s="37" t="s">
        <v>25</v>
      </c>
      <c r="B3" s="37" t="s">
        <v>26</v>
      </c>
      <c r="C3" s="33" t="s">
        <v>19</v>
      </c>
      <c r="D3" s="33" t="s">
        <v>27</v>
      </c>
      <c r="E3" s="33" t="s">
        <v>36</v>
      </c>
      <c r="F3" s="33" t="s">
        <v>28</v>
      </c>
      <c r="G3" s="33" t="s">
        <v>12</v>
      </c>
      <c r="H3" s="33" t="s">
        <v>296</v>
      </c>
    </row>
    <row r="4" spans="1:8" ht="13.8" x14ac:dyDescent="0.25">
      <c r="A4" s="64" t="s">
        <v>283</v>
      </c>
      <c r="B4" s="5" t="s">
        <v>349</v>
      </c>
      <c r="C4" s="5" t="s">
        <v>341</v>
      </c>
      <c r="D4" s="102">
        <v>1</v>
      </c>
      <c r="E4" s="60"/>
      <c r="F4" s="60"/>
      <c r="G4" s="60" t="s">
        <v>12</v>
      </c>
      <c r="H4" s="64" t="s">
        <v>437</v>
      </c>
    </row>
  </sheetData>
  <mergeCells count="1">
    <mergeCell ref="C1:H2"/>
  </mergeCells>
  <hyperlinks>
    <hyperlink ref="B1" location="RESUMEN!A1" display="PROMULGA PROTOCOLO DE MONTREAL RELATIVO A LAS SUSTANCIAS AGOTADORAS DE LA CAPA DE OZONO  DE 16 DE SEPTIEMBRE DE 1987" xr:uid="{00000000-0004-0000-20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5"/>
  <sheetViews>
    <sheetView showGridLines="0" topLeftCell="A3" workbookViewId="0"/>
  </sheetViews>
  <sheetFormatPr baseColWidth="10" defaultRowHeight="13.2" x14ac:dyDescent="0.25"/>
  <cols>
    <col min="1" max="1" width="21.88671875" customWidth="1"/>
    <col min="2" max="2" width="60.44140625" customWidth="1"/>
    <col min="3" max="3" width="20.6640625" customWidth="1"/>
    <col min="8" max="8" width="39.6640625" customWidth="1"/>
  </cols>
  <sheetData>
    <row r="1" spans="1:8" ht="25.5" customHeight="1" x14ac:dyDescent="0.25">
      <c r="A1" s="32" t="s">
        <v>33</v>
      </c>
      <c r="B1" s="71" t="s">
        <v>278</v>
      </c>
      <c r="C1" s="244" t="s">
        <v>320</v>
      </c>
      <c r="D1" s="245"/>
      <c r="E1" s="245"/>
      <c r="F1" s="245"/>
      <c r="G1" s="245"/>
      <c r="H1" s="246"/>
    </row>
    <row r="2" spans="1:8" ht="13.8" x14ac:dyDescent="0.25">
      <c r="A2" s="32" t="s">
        <v>35</v>
      </c>
      <c r="B2" s="80">
        <f>AVERAGE(D4:G4)</f>
        <v>1</v>
      </c>
      <c r="C2" s="247"/>
      <c r="D2" s="248"/>
      <c r="E2" s="248"/>
      <c r="F2" s="248"/>
      <c r="G2" s="248"/>
      <c r="H2" s="249"/>
    </row>
    <row r="3" spans="1:8" ht="27.6" x14ac:dyDescent="0.25">
      <c r="A3" s="37" t="s">
        <v>25</v>
      </c>
      <c r="B3" s="37" t="s">
        <v>26</v>
      </c>
      <c r="C3" s="33" t="s">
        <v>19</v>
      </c>
      <c r="D3" s="33" t="s">
        <v>27</v>
      </c>
      <c r="E3" s="33" t="s">
        <v>36</v>
      </c>
      <c r="F3" s="33" t="s">
        <v>28</v>
      </c>
      <c r="G3" s="33" t="s">
        <v>12</v>
      </c>
      <c r="H3" s="33" t="s">
        <v>296</v>
      </c>
    </row>
    <row r="4" spans="1:8" ht="13.8" x14ac:dyDescent="0.25">
      <c r="A4" s="64" t="s">
        <v>282</v>
      </c>
      <c r="B4" s="5" t="s">
        <v>281</v>
      </c>
      <c r="C4" s="5" t="s">
        <v>341</v>
      </c>
      <c r="D4" s="102">
        <v>1</v>
      </c>
      <c r="E4" s="60"/>
      <c r="F4" s="60"/>
      <c r="G4" s="60"/>
      <c r="H4" s="70" t="s">
        <v>438</v>
      </c>
    </row>
    <row r="5" spans="1:8" x14ac:dyDescent="0.25">
      <c r="H5" s="73"/>
    </row>
  </sheetData>
  <mergeCells count="1">
    <mergeCell ref="C1:H2"/>
  </mergeCells>
  <hyperlinks>
    <hyperlink ref="B1" location="RESUMEN!A1" display="ESTABLECE NORMAS DE EMISION APLICABLES A VEHICULOS MOTORIZADOS PESADOS QUE INDICA" xr:uid="{00000000-0004-0000-21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4"/>
  <sheetViews>
    <sheetView showGridLines="0" workbookViewId="0"/>
  </sheetViews>
  <sheetFormatPr baseColWidth="10" defaultRowHeight="13.2" x14ac:dyDescent="0.25"/>
  <cols>
    <col min="1" max="1" width="21.88671875" customWidth="1"/>
    <col min="2" max="2" width="60.44140625" customWidth="1"/>
    <col min="3" max="3" width="20.6640625" customWidth="1"/>
    <col min="8" max="8" width="39.6640625" customWidth="1"/>
  </cols>
  <sheetData>
    <row r="1" spans="1:8" ht="12.75" customHeight="1" x14ac:dyDescent="0.25">
      <c r="A1" s="32" t="s">
        <v>33</v>
      </c>
      <c r="B1" s="71" t="s">
        <v>279</v>
      </c>
      <c r="C1" s="244" t="s">
        <v>320</v>
      </c>
      <c r="D1" s="245"/>
      <c r="E1" s="245"/>
      <c r="F1" s="245"/>
      <c r="G1" s="245"/>
      <c r="H1" s="246"/>
    </row>
    <row r="2" spans="1:8" ht="13.8" x14ac:dyDescent="0.25">
      <c r="A2" s="32" t="s">
        <v>35</v>
      </c>
      <c r="B2" s="80">
        <f>AVERAGE(D4:G4)</f>
        <v>1</v>
      </c>
      <c r="C2" s="247"/>
      <c r="D2" s="248"/>
      <c r="E2" s="248"/>
      <c r="F2" s="248"/>
      <c r="G2" s="248"/>
      <c r="H2" s="249"/>
    </row>
    <row r="3" spans="1:8" ht="27.6" x14ac:dyDescent="0.25">
      <c r="A3" s="37" t="s">
        <v>25</v>
      </c>
      <c r="B3" s="37" t="s">
        <v>26</v>
      </c>
      <c r="C3" s="33" t="s">
        <v>19</v>
      </c>
      <c r="D3" s="33" t="s">
        <v>27</v>
      </c>
      <c r="E3" s="33" t="s">
        <v>36</v>
      </c>
      <c r="F3" s="33" t="s">
        <v>28</v>
      </c>
      <c r="G3" s="33" t="s">
        <v>12</v>
      </c>
      <c r="H3" s="33" t="s">
        <v>296</v>
      </c>
    </row>
    <row r="4" spans="1:8" ht="13.8" x14ac:dyDescent="0.25">
      <c r="A4" s="64" t="s">
        <v>282</v>
      </c>
      <c r="B4" s="5" t="s">
        <v>284</v>
      </c>
      <c r="C4" s="5" t="s">
        <v>341</v>
      </c>
      <c r="D4" s="69">
        <v>1</v>
      </c>
      <c r="E4" s="60"/>
      <c r="F4" s="60"/>
      <c r="G4" s="60"/>
      <c r="H4" s="64" t="s">
        <v>439</v>
      </c>
    </row>
  </sheetData>
  <mergeCells count="1">
    <mergeCell ref="C1:H2"/>
  </mergeCells>
  <hyperlinks>
    <hyperlink ref="B1" location="RESUMEN!A1" display="MODIFICA LA LEY Nº 19.039  SOBRE PROPIEDAD INDUSTRIAL" xr:uid="{00000000-0004-0000-22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4"/>
  <sheetViews>
    <sheetView showGridLines="0" workbookViewId="0"/>
  </sheetViews>
  <sheetFormatPr baseColWidth="10" defaultRowHeight="13.2" x14ac:dyDescent="0.25"/>
  <cols>
    <col min="1" max="1" width="21.88671875" customWidth="1"/>
    <col min="2" max="2" width="60.44140625" customWidth="1"/>
    <col min="3" max="3" width="20.6640625" customWidth="1"/>
    <col min="8" max="8" width="39.6640625" customWidth="1"/>
  </cols>
  <sheetData>
    <row r="1" spans="1:8" ht="25.5" customHeight="1" x14ac:dyDescent="0.25">
      <c r="A1" s="32" t="s">
        <v>33</v>
      </c>
      <c r="B1" s="71" t="s">
        <v>280</v>
      </c>
      <c r="C1" s="244" t="s">
        <v>320</v>
      </c>
      <c r="D1" s="245"/>
      <c r="E1" s="245"/>
      <c r="F1" s="245"/>
      <c r="G1" s="245"/>
      <c r="H1" s="246"/>
    </row>
    <row r="2" spans="1:8" ht="13.8" x14ac:dyDescent="0.25">
      <c r="A2" s="32" t="s">
        <v>35</v>
      </c>
      <c r="B2" s="80">
        <f>AVERAGE(D4:G4)</f>
        <v>1</v>
      </c>
      <c r="C2" s="247"/>
      <c r="D2" s="248"/>
      <c r="E2" s="248"/>
      <c r="F2" s="248"/>
      <c r="G2" s="248"/>
      <c r="H2" s="249"/>
    </row>
    <row r="3" spans="1:8" ht="27.6" x14ac:dyDescent="0.25">
      <c r="A3" s="37" t="s">
        <v>25</v>
      </c>
      <c r="B3" s="37" t="s">
        <v>26</v>
      </c>
      <c r="C3" s="33" t="s">
        <v>19</v>
      </c>
      <c r="D3" s="33" t="s">
        <v>27</v>
      </c>
      <c r="E3" s="33" t="s">
        <v>36</v>
      </c>
      <c r="F3" s="33" t="s">
        <v>28</v>
      </c>
      <c r="G3" s="33" t="s">
        <v>12</v>
      </c>
      <c r="H3" s="33" t="s">
        <v>296</v>
      </c>
    </row>
    <row r="4" spans="1:8" ht="13.8" x14ac:dyDescent="0.25">
      <c r="A4" s="64" t="s">
        <v>282</v>
      </c>
      <c r="B4" s="5" t="s">
        <v>281</v>
      </c>
      <c r="C4" s="5" t="s">
        <v>341</v>
      </c>
      <c r="D4" s="102">
        <v>1</v>
      </c>
      <c r="E4" s="60"/>
      <c r="F4" s="60"/>
      <c r="G4" s="60"/>
      <c r="H4" s="64" t="s">
        <v>437</v>
      </c>
    </row>
  </sheetData>
  <mergeCells count="1">
    <mergeCell ref="C1:H2"/>
  </mergeCells>
  <hyperlinks>
    <hyperlink ref="B1" location="RESUMEN!A1" display="PROMULGA EL CONVENIO DE VIENA PARA LA PROTECCION DE LA CAPA DE OZONO Y SUS ANEXOS I Y II" xr:uid="{00000000-0004-0000-23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4"/>
  <sheetViews>
    <sheetView showGridLines="0" workbookViewId="0"/>
  </sheetViews>
  <sheetFormatPr baseColWidth="10" defaultRowHeight="13.2" x14ac:dyDescent="0.25"/>
  <cols>
    <col min="1" max="1" width="20.109375" customWidth="1"/>
    <col min="2" max="2" width="87" customWidth="1"/>
    <col min="3" max="3" width="20.6640625" customWidth="1"/>
    <col min="8" max="8" width="27.6640625" customWidth="1"/>
  </cols>
  <sheetData>
    <row r="1" spans="1:8" ht="25.5" customHeight="1" x14ac:dyDescent="0.25">
      <c r="A1" s="32" t="s">
        <v>33</v>
      </c>
      <c r="B1" s="74" t="s">
        <v>468</v>
      </c>
      <c r="C1" s="244" t="s">
        <v>320</v>
      </c>
      <c r="D1" s="245"/>
      <c r="E1" s="245"/>
      <c r="F1" s="245"/>
      <c r="G1" s="245"/>
      <c r="H1" s="246"/>
    </row>
    <row r="2" spans="1:8" ht="13.8" x14ac:dyDescent="0.25">
      <c r="A2" s="32" t="s">
        <v>35</v>
      </c>
      <c r="B2" s="76">
        <f>AVERAGE(D4:G4)</f>
        <v>1</v>
      </c>
      <c r="C2" s="247"/>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92.4" x14ac:dyDescent="0.25">
      <c r="A4" s="10" t="s">
        <v>364</v>
      </c>
      <c r="B4" s="9" t="s">
        <v>365</v>
      </c>
      <c r="C4" s="70" t="s">
        <v>341</v>
      </c>
      <c r="D4" s="99">
        <v>1</v>
      </c>
      <c r="E4" s="51"/>
      <c r="F4" s="51"/>
      <c r="G4" s="51"/>
      <c r="H4" s="127" t="s">
        <v>674</v>
      </c>
    </row>
  </sheetData>
  <mergeCells count="1">
    <mergeCell ref="C1:H2"/>
  </mergeCells>
  <hyperlinks>
    <hyperlink ref="B1" location="RESUMEN!A1" display="DS 1 APRUEBA REGLAMENTO DEL REGISTRO DE EMISIONES Y TRANSFERENCIAS DE CONTAMINANTES, RETC" xr:uid="{00000000-0004-0000-24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4"/>
  <sheetViews>
    <sheetView workbookViewId="0"/>
  </sheetViews>
  <sheetFormatPr baseColWidth="10" defaultRowHeight="13.2" x14ac:dyDescent="0.25"/>
  <cols>
    <col min="1" max="1" width="46.5546875" customWidth="1"/>
    <col min="2" max="2" width="59.109375" customWidth="1"/>
    <col min="3" max="3" width="20.6640625" customWidth="1"/>
    <col min="8" max="8" width="27.5546875" customWidth="1"/>
  </cols>
  <sheetData>
    <row r="1" spans="1:8" ht="39.6" x14ac:dyDescent="0.25">
      <c r="A1" s="32" t="s">
        <v>33</v>
      </c>
      <c r="B1" s="74" t="s">
        <v>496</v>
      </c>
      <c r="C1" s="244" t="s">
        <v>320</v>
      </c>
      <c r="D1" s="245"/>
      <c r="E1" s="245"/>
      <c r="F1" s="245"/>
      <c r="G1" s="245"/>
      <c r="H1" s="246"/>
    </row>
    <row r="2" spans="1:8" ht="13.8" x14ac:dyDescent="0.25">
      <c r="A2" s="32" t="s">
        <v>35</v>
      </c>
      <c r="B2" s="76">
        <f>AVERAGE(D4:G4)</f>
        <v>1</v>
      </c>
      <c r="C2" s="247"/>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41.4" x14ac:dyDescent="0.25">
      <c r="A4" s="4" t="s">
        <v>267</v>
      </c>
      <c r="B4" s="8" t="s">
        <v>11</v>
      </c>
      <c r="C4" s="8" t="s">
        <v>341</v>
      </c>
      <c r="D4" s="59">
        <v>1</v>
      </c>
      <c r="E4" s="3"/>
      <c r="F4" s="3"/>
      <c r="G4" s="4"/>
      <c r="H4" s="13" t="s">
        <v>569</v>
      </c>
    </row>
  </sheetData>
  <mergeCells count="1">
    <mergeCell ref="C1:H2"/>
  </mergeCells>
  <hyperlinks>
    <hyperlink ref="B1" location="RESUMEN!A1" display="Protocolo para medir la exposición a riesgo psicosocial en el trabajo" xr:uid="{00000000-0004-0000-25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4"/>
  <sheetViews>
    <sheetView showGridLines="0" workbookViewId="0">
      <selection activeCell="B1" sqref="B1"/>
    </sheetView>
  </sheetViews>
  <sheetFormatPr baseColWidth="10" defaultRowHeight="13.2" x14ac:dyDescent="0.25"/>
  <cols>
    <col min="1" max="1" width="46.5546875" customWidth="1"/>
    <col min="2" max="2" width="59.109375" customWidth="1"/>
    <col min="3" max="3" width="20.6640625" customWidth="1"/>
    <col min="8" max="8" width="27.5546875" customWidth="1"/>
  </cols>
  <sheetData>
    <row r="1" spans="1:8" ht="66" x14ac:dyDescent="0.25">
      <c r="A1" s="32" t="s">
        <v>33</v>
      </c>
      <c r="B1" s="74" t="s">
        <v>912</v>
      </c>
      <c r="C1" s="244" t="s">
        <v>320</v>
      </c>
      <c r="D1" s="245"/>
      <c r="E1" s="245"/>
      <c r="F1" s="245"/>
      <c r="G1" s="245"/>
      <c r="H1" s="246"/>
    </row>
    <row r="2" spans="1:8" ht="13.8" x14ac:dyDescent="0.25">
      <c r="A2" s="32" t="s">
        <v>35</v>
      </c>
      <c r="B2" s="76">
        <f>AVERAGE(D4:G4)</f>
        <v>1</v>
      </c>
      <c r="C2" s="247"/>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41.4" x14ac:dyDescent="0.25">
      <c r="A4" s="4" t="s">
        <v>267</v>
      </c>
      <c r="B4" s="8" t="s">
        <v>11</v>
      </c>
      <c r="C4" s="8" t="s">
        <v>341</v>
      </c>
      <c r="D4" s="59">
        <v>1</v>
      </c>
      <c r="E4" s="3"/>
      <c r="F4" s="3"/>
      <c r="G4" s="4"/>
      <c r="H4" s="13" t="s">
        <v>910</v>
      </c>
    </row>
  </sheetData>
  <mergeCells count="1">
    <mergeCell ref="C1:H2"/>
  </mergeCells>
  <hyperlinks>
    <hyperlink ref="B1" location="RESUMEN!A1" display="Protocolo para medir la exposición a riesgo psicosocial en el trabajo" xr:uid="{00000000-0004-0000-26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4"/>
  <sheetViews>
    <sheetView showGridLines="0" workbookViewId="0"/>
  </sheetViews>
  <sheetFormatPr baseColWidth="10" defaultRowHeight="13.2" x14ac:dyDescent="0.25"/>
  <cols>
    <col min="1" max="1" width="16.88671875" bestFit="1" customWidth="1"/>
    <col min="2" max="2" width="69.6640625" customWidth="1"/>
    <col min="3" max="3" width="20.6640625" customWidth="1"/>
    <col min="8" max="8" width="36.6640625" customWidth="1"/>
  </cols>
  <sheetData>
    <row r="1" spans="1:8" ht="38.25" customHeight="1" x14ac:dyDescent="0.25">
      <c r="A1" s="32" t="s">
        <v>33</v>
      </c>
      <c r="B1" s="74" t="s">
        <v>276</v>
      </c>
      <c r="C1" s="244" t="s">
        <v>320</v>
      </c>
      <c r="D1" s="245"/>
      <c r="E1" s="245"/>
      <c r="F1" s="245"/>
      <c r="G1" s="245"/>
      <c r="H1" s="246"/>
    </row>
    <row r="2" spans="1:8" ht="13.8" x14ac:dyDescent="0.25">
      <c r="A2" s="32" t="s">
        <v>35</v>
      </c>
      <c r="B2" s="76">
        <f>AVERAGE(D4:G4)</f>
        <v>1</v>
      </c>
      <c r="C2" s="247"/>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13.8" x14ac:dyDescent="0.25">
      <c r="A4" s="4" t="s">
        <v>267</v>
      </c>
      <c r="B4" s="8" t="s">
        <v>11</v>
      </c>
      <c r="C4" s="8" t="s">
        <v>306</v>
      </c>
      <c r="D4" s="59">
        <v>1</v>
      </c>
      <c r="E4" s="3"/>
      <c r="F4" s="3"/>
      <c r="G4" s="4"/>
      <c r="H4" s="13" t="s">
        <v>396</v>
      </c>
    </row>
  </sheetData>
  <mergeCells count="1">
    <mergeCell ref="C1:H2"/>
  </mergeCells>
  <hyperlinks>
    <hyperlink ref="B1" location="RESUMEN!A1" display="NORMA TÉCNICA DE IDENTIFICACIÓN Y EVALUACIÓN DE FACTORES DE RIESGO DE TRASTORNOS MUSCULOESQUELÉTICOS RELACIONADOS AL TRABAJO (TMERT)" xr:uid="{00000000-0004-0000-27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7"/>
  <sheetViews>
    <sheetView showGridLines="0" topLeftCell="A7" zoomScale="90" zoomScaleNormal="90" workbookViewId="0">
      <selection activeCell="A6" sqref="A6"/>
    </sheetView>
  </sheetViews>
  <sheetFormatPr baseColWidth="10" defaultRowHeight="13.2" x14ac:dyDescent="0.25"/>
  <cols>
    <col min="1" max="1" width="20.109375" customWidth="1"/>
    <col min="2" max="2" width="87" customWidth="1"/>
    <col min="3" max="3" width="20.6640625" customWidth="1"/>
    <col min="8" max="8" width="27.6640625" customWidth="1"/>
  </cols>
  <sheetData>
    <row r="1" spans="1:8" ht="25.5" customHeight="1" x14ac:dyDescent="0.25">
      <c r="A1" s="32" t="s">
        <v>33</v>
      </c>
      <c r="B1" s="74" t="s">
        <v>297</v>
      </c>
      <c r="C1" s="244" t="s">
        <v>320</v>
      </c>
      <c r="D1" s="245"/>
      <c r="E1" s="245"/>
      <c r="F1" s="245"/>
      <c r="G1" s="245"/>
      <c r="H1" s="246"/>
    </row>
    <row r="2" spans="1:8" ht="13.8" x14ac:dyDescent="0.25">
      <c r="A2" s="32" t="s">
        <v>35</v>
      </c>
      <c r="B2" s="76">
        <f>AVERAGE(D4:G7)</f>
        <v>1</v>
      </c>
      <c r="C2" s="247"/>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253.5" customHeight="1" x14ac:dyDescent="0.25">
      <c r="A4" s="10" t="s">
        <v>299</v>
      </c>
      <c r="B4" s="9" t="s">
        <v>863</v>
      </c>
      <c r="C4" s="70" t="s">
        <v>355</v>
      </c>
      <c r="D4" s="101">
        <v>1</v>
      </c>
      <c r="E4" s="51"/>
      <c r="F4" s="51"/>
      <c r="G4" s="51"/>
      <c r="H4" s="70" t="s">
        <v>577</v>
      </c>
    </row>
    <row r="5" spans="1:8" ht="343.5" customHeight="1" x14ac:dyDescent="0.25">
      <c r="A5" s="10" t="s">
        <v>300</v>
      </c>
      <c r="B5" s="9" t="s">
        <v>862</v>
      </c>
      <c r="C5" s="70" t="s">
        <v>355</v>
      </c>
      <c r="D5" s="101">
        <v>1</v>
      </c>
      <c r="E5" s="51"/>
      <c r="F5" s="51"/>
      <c r="G5" s="51"/>
      <c r="H5" s="70" t="s">
        <v>577</v>
      </c>
    </row>
    <row r="6" spans="1:8" ht="174" customHeight="1" x14ac:dyDescent="0.25">
      <c r="A6" s="188" t="s">
        <v>264</v>
      </c>
      <c r="B6" s="197" t="s">
        <v>301</v>
      </c>
      <c r="C6" s="198" t="s">
        <v>355</v>
      </c>
      <c r="D6" s="199">
        <v>1</v>
      </c>
      <c r="E6" s="200"/>
      <c r="F6" s="200"/>
      <c r="G6" s="200"/>
      <c r="H6" s="198" t="s">
        <v>577</v>
      </c>
    </row>
    <row r="7" spans="1:8" ht="96.6" x14ac:dyDescent="0.25">
      <c r="A7" s="4" t="s">
        <v>864</v>
      </c>
      <c r="B7" s="9" t="s">
        <v>298</v>
      </c>
      <c r="C7" s="70" t="s">
        <v>325</v>
      </c>
      <c r="D7" s="59"/>
      <c r="E7" s="3"/>
      <c r="F7" s="3"/>
      <c r="G7" s="59">
        <v>1</v>
      </c>
      <c r="H7" s="70" t="s">
        <v>356</v>
      </c>
    </row>
  </sheetData>
  <mergeCells count="1">
    <mergeCell ref="C1:H2"/>
  </mergeCells>
  <hyperlinks>
    <hyperlink ref="B1" location="RESUMEN!A1" display="DS 1 APRUEBA REGLAMENTO DEL REGISTRO DE EMISIONES Y TRANSFERENCIAS DE CONTAMINANTES, RETC" xr:uid="{00000000-0004-0000-2800-000000000000}"/>
  </hyperlinks>
  <pageMargins left="0.7" right="0.7" top="0.75" bottom="0.75" header="0.3" footer="0.3"/>
  <legacy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4"/>
  <sheetViews>
    <sheetView showGridLines="0" zoomScale="90" zoomScaleNormal="90" workbookViewId="0"/>
  </sheetViews>
  <sheetFormatPr baseColWidth="10" defaultRowHeight="13.2" x14ac:dyDescent="0.25"/>
  <cols>
    <col min="1" max="1" width="20.109375" customWidth="1"/>
    <col min="2" max="2" width="87" customWidth="1"/>
    <col min="3" max="3" width="20.6640625" customWidth="1"/>
    <col min="8" max="8" width="27.6640625" customWidth="1"/>
  </cols>
  <sheetData>
    <row r="1" spans="1:8" ht="25.5" customHeight="1" x14ac:dyDescent="0.25">
      <c r="A1" s="32" t="s">
        <v>33</v>
      </c>
      <c r="B1" s="74" t="s">
        <v>579</v>
      </c>
      <c r="C1" s="244" t="s">
        <v>320</v>
      </c>
      <c r="D1" s="245"/>
      <c r="E1" s="245"/>
      <c r="F1" s="245"/>
      <c r="G1" s="245"/>
      <c r="H1" s="246"/>
    </row>
    <row r="2" spans="1:8" ht="13.8" x14ac:dyDescent="0.25">
      <c r="A2" s="32" t="s">
        <v>35</v>
      </c>
      <c r="B2" s="76">
        <f>AVERAGE(D4:G4)</f>
        <v>1</v>
      </c>
      <c r="C2" s="247"/>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13.8" x14ac:dyDescent="0.25">
      <c r="A4" s="10" t="s">
        <v>364</v>
      </c>
      <c r="B4" s="9" t="s">
        <v>365</v>
      </c>
      <c r="C4" s="127" t="s">
        <v>341</v>
      </c>
      <c r="D4" s="99">
        <v>1</v>
      </c>
      <c r="E4" s="51"/>
      <c r="F4" s="51"/>
      <c r="G4" s="51"/>
      <c r="H4" s="64" t="s">
        <v>440</v>
      </c>
    </row>
  </sheetData>
  <mergeCells count="1">
    <mergeCell ref="C1:H2"/>
  </mergeCells>
  <hyperlinks>
    <hyperlink ref="B1" location="RESUMEN!A1" display="DS 1 APRUEBA REGLAMENTO DEL REGISTRO DE EMISIONES Y TRANSFERENCIAS DE CONTAMINANTES, RETC" xr:uid="{00000000-0004-0000-29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4"/>
  <sheetViews>
    <sheetView showGridLines="0" workbookViewId="0">
      <selection activeCell="B1" sqref="B1"/>
    </sheetView>
  </sheetViews>
  <sheetFormatPr baseColWidth="10" defaultRowHeight="13.2" x14ac:dyDescent="0.25"/>
  <cols>
    <col min="1" max="1" width="20.109375" customWidth="1"/>
    <col min="2" max="2" width="111.33203125" customWidth="1"/>
    <col min="3" max="3" width="20.6640625" customWidth="1"/>
    <col min="8" max="8" width="27.6640625" customWidth="1"/>
  </cols>
  <sheetData>
    <row r="1" spans="1:8" ht="25.5" customHeight="1" x14ac:dyDescent="0.25">
      <c r="A1" s="32" t="s">
        <v>33</v>
      </c>
      <c r="B1" s="74" t="s">
        <v>908</v>
      </c>
      <c r="C1" s="244" t="s">
        <v>320</v>
      </c>
      <c r="D1" s="245"/>
      <c r="E1" s="245"/>
      <c r="F1" s="245"/>
      <c r="G1" s="245"/>
      <c r="H1" s="246"/>
    </row>
    <row r="2" spans="1:8" ht="13.8" x14ac:dyDescent="0.25">
      <c r="A2" s="32" t="s">
        <v>35</v>
      </c>
      <c r="B2" s="76">
        <f>AVERAGE(D4:G4)</f>
        <v>1</v>
      </c>
      <c r="C2" s="247"/>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13.8" x14ac:dyDescent="0.25">
      <c r="A4" s="10" t="s">
        <v>364</v>
      </c>
      <c r="B4" s="9" t="s">
        <v>365</v>
      </c>
      <c r="C4" s="127" t="s">
        <v>341</v>
      </c>
      <c r="D4" s="99">
        <v>1</v>
      </c>
      <c r="E4" s="51"/>
      <c r="F4" s="51"/>
      <c r="G4" s="51"/>
      <c r="H4" s="64" t="s">
        <v>387</v>
      </c>
    </row>
  </sheetData>
  <mergeCells count="1">
    <mergeCell ref="C1:H2"/>
  </mergeCells>
  <hyperlinks>
    <hyperlink ref="B1" location="RESUMEN!A1" display="DS 1 APRUEBA REGLAMENTO DEL REGISTRO DE EMISIONES Y TRANSFERENCIAS DE CONTAMINANTES, RETC" xr:uid="{00000000-0004-0000-2A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4"/>
  <sheetViews>
    <sheetView showGridLines="0" workbookViewId="0">
      <selection activeCell="B1" sqref="B1"/>
    </sheetView>
  </sheetViews>
  <sheetFormatPr baseColWidth="10" defaultRowHeight="13.2" x14ac:dyDescent="0.25"/>
  <cols>
    <col min="1" max="1" width="20.109375" customWidth="1"/>
    <col min="2" max="2" width="75.33203125" bestFit="1" customWidth="1"/>
    <col min="3" max="3" width="20.6640625" customWidth="1"/>
    <col min="8" max="8" width="27.6640625" customWidth="1"/>
  </cols>
  <sheetData>
    <row r="1" spans="1:8" ht="25.5" customHeight="1" x14ac:dyDescent="0.25">
      <c r="A1" s="32" t="s">
        <v>33</v>
      </c>
      <c r="B1" s="119" t="s">
        <v>580</v>
      </c>
      <c r="C1" s="244" t="s">
        <v>320</v>
      </c>
      <c r="D1" s="245"/>
      <c r="E1" s="245"/>
      <c r="F1" s="245"/>
      <c r="G1" s="245"/>
      <c r="H1" s="246"/>
    </row>
    <row r="2" spans="1:8" ht="13.8" x14ac:dyDescent="0.25">
      <c r="A2" s="32" t="s">
        <v>35</v>
      </c>
      <c r="B2" s="76">
        <f>AVERAGE(D4:G4)</f>
        <v>1</v>
      </c>
      <c r="C2" s="247"/>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13.8" x14ac:dyDescent="0.25">
      <c r="A4" s="10" t="s">
        <v>364</v>
      </c>
      <c r="B4" s="9" t="s">
        <v>365</v>
      </c>
      <c r="C4" s="70" t="s">
        <v>341</v>
      </c>
      <c r="D4" s="99">
        <v>1</v>
      </c>
      <c r="E4" s="51"/>
      <c r="F4" s="51"/>
      <c r="G4" s="51"/>
      <c r="H4" s="64" t="s">
        <v>369</v>
      </c>
    </row>
  </sheetData>
  <mergeCells count="1">
    <mergeCell ref="C1:H2"/>
  </mergeCells>
  <hyperlinks>
    <hyperlink ref="B1" location="RESUMEN!A1" display="DS 1 APRUEBA REGLAMENTO DEL REGISTRO DE EMISIONES Y TRANSFERENCIAS DE CONTAMINANTES, RETC" xr:uid="{00000000-0004-0000-2B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4"/>
  <sheetViews>
    <sheetView showGridLines="0" workbookViewId="0">
      <selection activeCell="B1" sqref="B1"/>
    </sheetView>
  </sheetViews>
  <sheetFormatPr baseColWidth="10" defaultRowHeight="13.2" x14ac:dyDescent="0.25"/>
  <cols>
    <col min="1" max="1" width="20.109375" customWidth="1"/>
    <col min="2" max="2" width="87" customWidth="1"/>
    <col min="3" max="3" width="20.6640625" customWidth="1"/>
    <col min="8" max="8" width="27.6640625" customWidth="1"/>
  </cols>
  <sheetData>
    <row r="1" spans="1:8" ht="25.5" customHeight="1" x14ac:dyDescent="0.25">
      <c r="A1" s="32" t="s">
        <v>33</v>
      </c>
      <c r="B1" s="74" t="s">
        <v>488</v>
      </c>
      <c r="C1" s="244" t="s">
        <v>320</v>
      </c>
      <c r="D1" s="245"/>
      <c r="E1" s="245"/>
      <c r="F1" s="245"/>
      <c r="G1" s="245"/>
      <c r="H1" s="246"/>
    </row>
    <row r="2" spans="1:8" ht="13.8" x14ac:dyDescent="0.25">
      <c r="A2" s="32" t="s">
        <v>35</v>
      </c>
      <c r="B2" s="76">
        <f>AVERAGE(D4:G4)</f>
        <v>1</v>
      </c>
      <c r="C2" s="247"/>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26.4" x14ac:dyDescent="0.25">
      <c r="A4" s="10" t="s">
        <v>364</v>
      </c>
      <c r="B4" s="9" t="s">
        <v>365</v>
      </c>
      <c r="C4" s="98" t="s">
        <v>341</v>
      </c>
      <c r="D4" s="101">
        <v>1</v>
      </c>
      <c r="E4" s="42"/>
      <c r="F4" s="42"/>
      <c r="G4" s="42"/>
      <c r="H4" s="70" t="s">
        <v>443</v>
      </c>
    </row>
  </sheetData>
  <mergeCells count="1">
    <mergeCell ref="C1:H2"/>
  </mergeCells>
  <hyperlinks>
    <hyperlink ref="B1" location="RESUMEN!A1" display="DS 206 de 1970 MODIFICA EL REGLAMENTO DE COMITES PARITARIOS DE HIGIENE Y SEGURIDAD" xr:uid="{00000000-0004-0000-2C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4"/>
  <sheetViews>
    <sheetView workbookViewId="0">
      <selection activeCell="B1" sqref="B1"/>
    </sheetView>
  </sheetViews>
  <sheetFormatPr baseColWidth="10" defaultRowHeight="13.2" x14ac:dyDescent="0.25"/>
  <cols>
    <col min="1" max="1" width="20.109375" customWidth="1"/>
    <col min="2" max="2" width="87" customWidth="1"/>
    <col min="3" max="3" width="20.6640625" customWidth="1"/>
    <col min="8" max="8" width="27.6640625" customWidth="1"/>
  </cols>
  <sheetData>
    <row r="1" spans="1:8" ht="55.5" customHeight="1" x14ac:dyDescent="0.25">
      <c r="A1" s="32" t="s">
        <v>33</v>
      </c>
      <c r="B1" s="65" t="s">
        <v>491</v>
      </c>
      <c r="C1" s="244" t="s">
        <v>320</v>
      </c>
      <c r="D1" s="245"/>
      <c r="E1" s="245"/>
      <c r="F1" s="245"/>
      <c r="G1" s="245"/>
      <c r="H1" s="246"/>
    </row>
    <row r="2" spans="1:8" ht="13.8" x14ac:dyDescent="0.25">
      <c r="A2" s="32" t="s">
        <v>35</v>
      </c>
      <c r="B2" s="76">
        <f>AVERAGE(D4:G4)</f>
        <v>1</v>
      </c>
      <c r="C2" s="247"/>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13.8" x14ac:dyDescent="0.25">
      <c r="A4" s="10" t="s">
        <v>364</v>
      </c>
      <c r="B4" s="9" t="s">
        <v>365</v>
      </c>
      <c r="C4" s="98" t="s">
        <v>341</v>
      </c>
      <c r="D4" s="109"/>
      <c r="E4" s="55"/>
      <c r="F4" s="55"/>
      <c r="G4" s="109">
        <v>1</v>
      </c>
      <c r="H4" s="70" t="s">
        <v>490</v>
      </c>
    </row>
  </sheetData>
  <mergeCells count="1">
    <mergeCell ref="C1:H2"/>
  </mergeCells>
  <hyperlinks>
    <hyperlink ref="B1" location="RESUMEN!A1" display="LEY 20123, MINISTERIO DEL TRABAJO Y PREVISIÓN SOCIAL, REGULA EL TRABAJO EN REGIMEN DE SUBCONTRATACIÓN, EL FUNCIONAMIENTO DE LAS EMPRESAS DE SERVICIOS TRANSITORIOS Y EL CONTRATO DE SERVICIOS TRANSITORIOS" xr:uid="{00000000-0004-0000-2D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4"/>
  <sheetViews>
    <sheetView showGridLines="0" workbookViewId="0">
      <selection activeCell="B1" sqref="B1"/>
    </sheetView>
  </sheetViews>
  <sheetFormatPr baseColWidth="10" defaultRowHeight="13.2" x14ac:dyDescent="0.25"/>
  <cols>
    <col min="1" max="1" width="20.109375" customWidth="1"/>
    <col min="2" max="2" width="87" customWidth="1"/>
    <col min="3" max="3" width="20.6640625" customWidth="1"/>
    <col min="8" max="8" width="27.6640625" customWidth="1"/>
  </cols>
  <sheetData>
    <row r="1" spans="1:8" ht="55.5" customHeight="1" x14ac:dyDescent="0.25">
      <c r="A1" s="32" t="s">
        <v>33</v>
      </c>
      <c r="B1" s="65" t="s">
        <v>489</v>
      </c>
      <c r="C1" s="244" t="s">
        <v>320</v>
      </c>
      <c r="D1" s="245"/>
      <c r="E1" s="245"/>
      <c r="F1" s="245"/>
      <c r="G1" s="245"/>
      <c r="H1" s="246"/>
    </row>
    <row r="2" spans="1:8" ht="13.8" x14ac:dyDescent="0.25">
      <c r="A2" s="32" t="s">
        <v>35</v>
      </c>
      <c r="B2" s="76">
        <f>AVERAGE(D4:G4)</f>
        <v>1</v>
      </c>
      <c r="C2" s="247"/>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13.8" x14ac:dyDescent="0.25">
      <c r="A4" s="10" t="s">
        <v>364</v>
      </c>
      <c r="B4" s="9" t="s">
        <v>365</v>
      </c>
      <c r="C4" s="98" t="s">
        <v>341</v>
      </c>
      <c r="D4" s="109"/>
      <c r="E4" s="55"/>
      <c r="F4" s="55"/>
      <c r="G4" s="109">
        <v>1</v>
      </c>
      <c r="H4" s="70" t="s">
        <v>490</v>
      </c>
    </row>
  </sheetData>
  <mergeCells count="1">
    <mergeCell ref="C1:H2"/>
  </mergeCells>
  <hyperlinks>
    <hyperlink ref="B1" location="RESUMEN!A1" display="DS 76 APRUEBA REGLAMENTO PARA LA APLICACIÓN DEL ARTICULO 66 BIS DE LA LEY N°16.744 SOBRE LA GESTIÓN DE LA SEGURIDAD Y SALUD EN EL TRABAJO EN OBRAS, FAENAS O SERVICIOS QUE INDICA." xr:uid="{00000000-0004-0000-2E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4"/>
  <sheetViews>
    <sheetView showGridLines="0" workbookViewId="0">
      <selection activeCell="B1" sqref="B1"/>
    </sheetView>
  </sheetViews>
  <sheetFormatPr baseColWidth="10" defaultRowHeight="13.2" x14ac:dyDescent="0.25"/>
  <cols>
    <col min="1" max="1" width="20.109375" customWidth="1"/>
    <col min="2" max="2" width="87" customWidth="1"/>
    <col min="3" max="3" width="20.6640625" customWidth="1"/>
    <col min="8" max="8" width="27.6640625" customWidth="1"/>
  </cols>
  <sheetData>
    <row r="1" spans="1:8" ht="55.5" customHeight="1" x14ac:dyDescent="0.25">
      <c r="A1" s="32" t="s">
        <v>33</v>
      </c>
      <c r="B1" s="65" t="s">
        <v>475</v>
      </c>
      <c r="C1" s="244" t="s">
        <v>320</v>
      </c>
      <c r="D1" s="245"/>
      <c r="E1" s="245"/>
      <c r="F1" s="245"/>
      <c r="G1" s="245"/>
      <c r="H1" s="246"/>
    </row>
    <row r="2" spans="1:8" ht="13.8" x14ac:dyDescent="0.25">
      <c r="A2" s="32" t="s">
        <v>35</v>
      </c>
      <c r="B2" s="76">
        <f>AVERAGE(D4:G4)</f>
        <v>1</v>
      </c>
      <c r="C2" s="247"/>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26.4" x14ac:dyDescent="0.25">
      <c r="A4" s="10" t="s">
        <v>364</v>
      </c>
      <c r="B4" s="9" t="s">
        <v>11</v>
      </c>
      <c r="C4" s="123" t="s">
        <v>361</v>
      </c>
      <c r="D4" s="101">
        <v>1</v>
      </c>
      <c r="E4" s="42"/>
      <c r="F4" s="42"/>
      <c r="G4" s="42"/>
      <c r="H4" s="70" t="s">
        <v>494</v>
      </c>
    </row>
  </sheetData>
  <mergeCells count="1">
    <mergeCell ref="C1:H2"/>
  </mergeCells>
  <hyperlinks>
    <hyperlink ref="B1" location="RESUMEN!A1" display="APRUEBA GUÍA PARA LA SELECCIÓN Y CONTROL DE PROTECCIÓN OCULAR Y FACIAL, ELABORADA POR EL DEPARTAMENTO DE SALUD OCUPACIONAL" xr:uid="{00000000-0004-0000-2F00-000000000000}"/>
  </hyperlinks>
  <pageMargins left="0.7" right="0.7" top="0.75" bottom="0.75" header="0.3" footer="0.3"/>
  <pageSetup paperSize="9" orientation="portrait" horizontalDpi="360" verticalDpi="36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7"/>
  <sheetViews>
    <sheetView showGridLines="0" workbookViewId="0">
      <selection activeCell="B1" sqref="B1"/>
    </sheetView>
  </sheetViews>
  <sheetFormatPr baseColWidth="10" defaultRowHeight="13.2" x14ac:dyDescent="0.25"/>
  <cols>
    <col min="1" max="1" width="16.88671875" customWidth="1"/>
    <col min="2" max="2" width="87" customWidth="1"/>
    <col min="3" max="3" width="15.5546875" customWidth="1"/>
    <col min="4" max="4" width="9.5546875" customWidth="1"/>
    <col min="5" max="5" width="10" customWidth="1"/>
    <col min="7" max="7" width="8.6640625" customWidth="1"/>
    <col min="8" max="8" width="27.6640625" customWidth="1"/>
  </cols>
  <sheetData>
    <row r="1" spans="1:8" ht="42" customHeight="1" x14ac:dyDescent="0.25">
      <c r="A1" s="32" t="s">
        <v>33</v>
      </c>
      <c r="B1" s="65" t="s">
        <v>499</v>
      </c>
      <c r="C1" s="244" t="s">
        <v>320</v>
      </c>
      <c r="D1" s="245"/>
      <c r="E1" s="245"/>
      <c r="F1" s="245"/>
      <c r="G1" s="245"/>
      <c r="H1" s="246"/>
    </row>
    <row r="2" spans="1:8" ht="13.8" x14ac:dyDescent="0.25">
      <c r="A2" s="32" t="s">
        <v>35</v>
      </c>
      <c r="B2" s="76">
        <f>AVERAGE(D4:G4)</f>
        <v>1</v>
      </c>
      <c r="C2" s="247"/>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41.4" x14ac:dyDescent="0.25">
      <c r="A4" s="10" t="s">
        <v>477</v>
      </c>
      <c r="B4" s="9" t="s">
        <v>476</v>
      </c>
      <c r="C4" s="123" t="s">
        <v>306</v>
      </c>
      <c r="D4" s="101"/>
      <c r="E4" s="42"/>
      <c r="F4" s="42"/>
      <c r="G4" s="101">
        <v>1</v>
      </c>
      <c r="H4" s="70" t="s">
        <v>369</v>
      </c>
    </row>
    <row r="5" spans="1:8" ht="55.2" x14ac:dyDescent="0.25">
      <c r="A5" s="10" t="s">
        <v>479</v>
      </c>
      <c r="B5" s="9" t="s">
        <v>478</v>
      </c>
      <c r="C5" s="123" t="s">
        <v>306</v>
      </c>
      <c r="D5" s="101"/>
      <c r="E5" s="42"/>
      <c r="F5" s="42"/>
      <c r="G5" s="101">
        <v>1</v>
      </c>
      <c r="H5" s="70" t="s">
        <v>501</v>
      </c>
    </row>
    <row r="6" spans="1:8" ht="27.6" x14ac:dyDescent="0.25">
      <c r="A6" s="9" t="s">
        <v>481</v>
      </c>
      <c r="B6" s="9" t="s">
        <v>480</v>
      </c>
      <c r="C6" s="123" t="s">
        <v>306</v>
      </c>
      <c r="D6" s="101">
        <v>1</v>
      </c>
      <c r="E6" s="42"/>
      <c r="F6" s="42"/>
      <c r="G6" s="101"/>
      <c r="H6" s="70" t="s">
        <v>369</v>
      </c>
    </row>
    <row r="7" spans="1:8" ht="13.8" x14ac:dyDescent="0.25">
      <c r="A7" s="9" t="s">
        <v>483</v>
      </c>
      <c r="B7" s="9" t="s">
        <v>482</v>
      </c>
      <c r="C7" s="123" t="s">
        <v>306</v>
      </c>
      <c r="D7" s="101">
        <v>1</v>
      </c>
      <c r="E7" s="42"/>
      <c r="F7" s="42"/>
      <c r="G7" s="101"/>
      <c r="H7" s="70" t="s">
        <v>500</v>
      </c>
    </row>
  </sheetData>
  <mergeCells count="1">
    <mergeCell ref="C1:H2"/>
  </mergeCells>
  <hyperlinks>
    <hyperlink ref="B1" location="RESUMEN!A1" display="DECRETO SUPREMO 144 / 1961, MINISTERIO DE SALUD, ESTABLECE NORMAS PARA EVITAR EMANACIONES O CONTAMINANTES ATMOSFERICOS DE CUALQUIERA NATURALEZA" xr:uid="{00000000-0004-0000-3000-000000000000}"/>
  </hyperlinks>
  <pageMargins left="0.7" right="0.7" top="0.75" bottom="0.75" header="0.3" footer="0.3"/>
  <pageSetup paperSize="9" orientation="portrait" horizontalDpi="360" verticalDpi="36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H4"/>
  <sheetViews>
    <sheetView showGridLines="0" workbookViewId="0">
      <selection activeCell="B1" sqref="B1"/>
    </sheetView>
  </sheetViews>
  <sheetFormatPr baseColWidth="10" defaultRowHeight="13.2" x14ac:dyDescent="0.25"/>
  <cols>
    <col min="1" max="1" width="20.109375" customWidth="1"/>
    <col min="2" max="2" width="82.44140625" customWidth="1"/>
    <col min="3" max="3" width="15.5546875" customWidth="1"/>
    <col min="4" max="4" width="9.44140625" customWidth="1"/>
    <col min="5" max="5" width="9.33203125" customWidth="1"/>
    <col min="7" max="7" width="10.5546875" customWidth="1"/>
    <col min="8" max="8" width="27.6640625" customWidth="1"/>
  </cols>
  <sheetData>
    <row r="1" spans="1:8" ht="55.5" customHeight="1" x14ac:dyDescent="0.25">
      <c r="A1" s="32" t="s">
        <v>33</v>
      </c>
      <c r="B1" s="65" t="s">
        <v>502</v>
      </c>
      <c r="C1" s="244" t="s">
        <v>320</v>
      </c>
      <c r="D1" s="245"/>
      <c r="E1" s="245"/>
      <c r="F1" s="245"/>
      <c r="G1" s="245"/>
      <c r="H1" s="246"/>
    </row>
    <row r="2" spans="1:8" ht="13.8" x14ac:dyDescent="0.25">
      <c r="A2" s="32" t="s">
        <v>35</v>
      </c>
      <c r="B2" s="76">
        <f>AVERAGE(D4:G4)</f>
        <v>1</v>
      </c>
      <c r="C2" s="247"/>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13.8" x14ac:dyDescent="0.25">
      <c r="A4" s="10" t="s">
        <v>364</v>
      </c>
      <c r="B4" s="9" t="s">
        <v>11</v>
      </c>
      <c r="C4" s="123" t="s">
        <v>341</v>
      </c>
      <c r="D4" s="109"/>
      <c r="E4" s="55"/>
      <c r="F4" s="55"/>
      <c r="G4" s="109">
        <v>1</v>
      </c>
      <c r="H4" s="70" t="s">
        <v>503</v>
      </c>
    </row>
  </sheetData>
  <mergeCells count="1">
    <mergeCell ref="C1:H2"/>
  </mergeCells>
  <hyperlinks>
    <hyperlink ref="B1" location="RESUMEN!A1" display="DECRETO SUPREMO 103, MINISTERIO DE TRANSPORTE Y TELECOMUNICACIONES, ESTABLECE NORMA DE EMISION DE HIDROCARBUROS NO METANICOS PARA VEHICULOS LIVIANOS Y MEDIANOS" xr:uid="{00000000-0004-0000-3100-000000000000}"/>
  </hyperlinks>
  <pageMargins left="0.7" right="0.7" top="0.75" bottom="0.75" header="0.3" footer="0.3"/>
  <pageSetup paperSize="9" orientation="portrait" horizontalDpi="360" verticalDpi="36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4"/>
  <sheetViews>
    <sheetView showGridLines="0" workbookViewId="0">
      <selection activeCell="B1" sqref="B1"/>
    </sheetView>
  </sheetViews>
  <sheetFormatPr baseColWidth="10" defaultRowHeight="13.2" x14ac:dyDescent="0.25"/>
  <cols>
    <col min="1" max="1" width="20.109375" customWidth="1"/>
    <col min="2" max="2" width="87" customWidth="1"/>
    <col min="3" max="3" width="13.6640625" customWidth="1"/>
    <col min="4" max="4" width="9" customWidth="1"/>
    <col min="6" max="6" width="8.44140625" customWidth="1"/>
    <col min="7" max="7" width="7.5546875" customWidth="1"/>
    <col min="8" max="8" width="26.44140625" customWidth="1"/>
  </cols>
  <sheetData>
    <row r="1" spans="1:8" ht="70.5" customHeight="1" x14ac:dyDescent="0.25">
      <c r="A1" s="32" t="s">
        <v>33</v>
      </c>
      <c r="B1" s="65" t="s">
        <v>504</v>
      </c>
      <c r="C1" s="244" t="s">
        <v>320</v>
      </c>
      <c r="D1" s="245"/>
      <c r="E1" s="245"/>
      <c r="F1" s="245"/>
      <c r="G1" s="245"/>
      <c r="H1" s="246"/>
    </row>
    <row r="2" spans="1:8" ht="13.8" x14ac:dyDescent="0.25">
      <c r="A2" s="32" t="s">
        <v>35</v>
      </c>
      <c r="B2" s="76">
        <f>AVERAGE(D4:G4)</f>
        <v>1</v>
      </c>
      <c r="C2" s="247"/>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13.8" x14ac:dyDescent="0.25">
      <c r="A4" s="10" t="s">
        <v>364</v>
      </c>
      <c r="B4" s="9" t="s">
        <v>11</v>
      </c>
      <c r="C4" s="123" t="s">
        <v>341</v>
      </c>
      <c r="D4" s="109">
        <v>1</v>
      </c>
      <c r="E4" s="55"/>
      <c r="F4" s="55"/>
      <c r="G4" s="55"/>
      <c r="H4" s="70" t="s">
        <v>503</v>
      </c>
    </row>
  </sheetData>
  <mergeCells count="1">
    <mergeCell ref="C1:H2"/>
  </mergeCells>
  <hyperlinks>
    <hyperlink ref="B1" location="RESUMEN!A1" display="DECRETO SUPREMO 149 / 2007, MINISTERIO DE TRANSPORTE Y TELECUMUNICACIONES, ESTABLECE NORMA DE EMISION DE NO, HC Y CO PARA EL CONTROL DEL NOX EN VEHICULOS EN USO, DE ENCENDIDO POR CHISPA (CICLO OTTO), QUE CUMPLEN CON LAS NORMAS DE EMISION ESTABLECIDAS EN EL DS. Nº 211 DE 1991 Y DS. Nº 54, DE 1994" xr:uid="{00000000-0004-0000-3200-000000000000}"/>
  </hyperlinks>
  <pageMargins left="0.7" right="0.7" top="0.75" bottom="0.75" header="0.3" footer="0.3"/>
  <pageSetup paperSize="9" orientation="portrait" horizontalDpi="360" verticalDpi="360"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4"/>
  <sheetViews>
    <sheetView zoomScaleNormal="100" workbookViewId="0">
      <selection activeCell="B1" sqref="B1"/>
    </sheetView>
  </sheetViews>
  <sheetFormatPr baseColWidth="10" defaultRowHeight="13.2" x14ac:dyDescent="0.25"/>
  <cols>
    <col min="1" max="1" width="20.109375" customWidth="1"/>
    <col min="2" max="2" width="87" customWidth="1"/>
    <col min="3" max="3" width="13.6640625" customWidth="1"/>
    <col min="4" max="4" width="9" customWidth="1"/>
    <col min="6" max="6" width="8.44140625" customWidth="1"/>
    <col min="7" max="7" width="7.5546875" customWidth="1"/>
    <col min="8" max="8" width="26.44140625" customWidth="1"/>
  </cols>
  <sheetData>
    <row r="1" spans="1:8" ht="46.5" customHeight="1" x14ac:dyDescent="0.25">
      <c r="A1" s="32" t="s">
        <v>33</v>
      </c>
      <c r="B1" s="65" t="s">
        <v>508</v>
      </c>
      <c r="C1" s="244" t="s">
        <v>320</v>
      </c>
      <c r="D1" s="245"/>
      <c r="E1" s="245"/>
      <c r="F1" s="245"/>
      <c r="G1" s="245"/>
      <c r="H1" s="246"/>
    </row>
    <row r="2" spans="1:8" ht="13.8" x14ac:dyDescent="0.25">
      <c r="A2" s="32" t="s">
        <v>35</v>
      </c>
      <c r="B2" s="76">
        <f>AVERAGE(D4:G4)</f>
        <v>1</v>
      </c>
      <c r="C2" s="247"/>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13.8" x14ac:dyDescent="0.25">
      <c r="A4" s="10" t="s">
        <v>364</v>
      </c>
      <c r="B4" s="9" t="s">
        <v>11</v>
      </c>
      <c r="C4" s="123" t="s">
        <v>341</v>
      </c>
      <c r="D4" s="109">
        <v>1</v>
      </c>
      <c r="E4" s="55"/>
      <c r="F4" s="55"/>
      <c r="G4" s="55"/>
      <c r="H4" s="70" t="s">
        <v>503</v>
      </c>
    </row>
  </sheetData>
  <mergeCells count="1">
    <mergeCell ref="C1:H2"/>
  </mergeCells>
  <hyperlinks>
    <hyperlink ref="B1" location="RESUMEN!A1" display="DECRETO SUPREMO 54 / 1994, MINISTERIO DE TRANSPORTE Y TELECUMUNICACIONES, ESTABLECE NORMAS DE EMISIÓN APLICABLES A VEHICULOS MOTORIZADOS MEDIANOS" xr:uid="{00000000-0004-0000-3300-000000000000}"/>
  </hyperlinks>
  <pageMargins left="0.7" right="0.7" top="0.75" bottom="0.75" header="0.3" footer="0.3"/>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4"/>
  <sheetViews>
    <sheetView showGridLines="0" workbookViewId="0">
      <selection activeCell="B1" sqref="B1"/>
    </sheetView>
  </sheetViews>
  <sheetFormatPr baseColWidth="10" defaultRowHeight="13.2" x14ac:dyDescent="0.25"/>
  <cols>
    <col min="1" max="1" width="20.109375" customWidth="1"/>
    <col min="2" max="2" width="79.33203125" customWidth="1"/>
    <col min="3" max="3" width="16.5546875" customWidth="1"/>
    <col min="6" max="6" width="9.5546875" customWidth="1"/>
    <col min="7" max="7" width="8.44140625" customWidth="1"/>
    <col min="8" max="8" width="27.6640625" customWidth="1"/>
  </cols>
  <sheetData>
    <row r="1" spans="1:8" ht="55.5" customHeight="1" x14ac:dyDescent="0.25">
      <c r="A1" s="32" t="s">
        <v>33</v>
      </c>
      <c r="B1" s="65" t="s">
        <v>505</v>
      </c>
      <c r="C1" s="244" t="s">
        <v>320</v>
      </c>
      <c r="D1" s="245"/>
      <c r="E1" s="245"/>
      <c r="F1" s="245"/>
      <c r="G1" s="245"/>
      <c r="H1" s="246"/>
    </row>
    <row r="2" spans="1:8" ht="13.8" x14ac:dyDescent="0.25">
      <c r="A2" s="32" t="s">
        <v>35</v>
      </c>
      <c r="B2" s="76">
        <f>AVERAGE(D4:G4)</f>
        <v>1</v>
      </c>
      <c r="C2" s="247"/>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39.6" x14ac:dyDescent="0.25">
      <c r="A4" s="10" t="s">
        <v>364</v>
      </c>
      <c r="B4" s="9" t="s">
        <v>11</v>
      </c>
      <c r="C4" s="98" t="s">
        <v>511</v>
      </c>
      <c r="D4" s="101">
        <v>1</v>
      </c>
      <c r="E4" s="55"/>
      <c r="F4" s="55"/>
      <c r="G4" s="55"/>
      <c r="H4" s="70" t="s">
        <v>506</v>
      </c>
    </row>
  </sheetData>
  <mergeCells count="1">
    <mergeCell ref="C1:H2"/>
  </mergeCells>
  <hyperlinks>
    <hyperlink ref="B1" location="RESUMEN!A1" display="NCh 2056, Extintores portátiles - Inspección, mantención y recarga - Requisitos generales Instalaciones fijas de extinción" xr:uid="{00000000-0004-0000-3400-000000000000}"/>
  </hyperlinks>
  <pageMargins left="0.7" right="0.7" top="0.75" bottom="0.75" header="0.3" footer="0.3"/>
  <pageSetup paperSize="9" orientation="portrait" horizontalDpi="360" verticalDpi="360"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4"/>
  <sheetViews>
    <sheetView workbookViewId="0">
      <selection activeCell="B1" sqref="B1"/>
    </sheetView>
  </sheetViews>
  <sheetFormatPr baseColWidth="10" defaultRowHeight="13.2" x14ac:dyDescent="0.25"/>
  <cols>
    <col min="1" max="1" width="20.109375" customWidth="1"/>
    <col min="2" max="2" width="87" customWidth="1"/>
    <col min="3" max="3" width="20.6640625" customWidth="1"/>
    <col min="8" max="8" width="27.6640625" customWidth="1"/>
  </cols>
  <sheetData>
    <row r="1" spans="1:8" ht="55.5" customHeight="1" x14ac:dyDescent="0.25">
      <c r="A1" s="32" t="s">
        <v>33</v>
      </c>
      <c r="B1" s="65" t="s">
        <v>509</v>
      </c>
      <c r="C1" s="244" t="s">
        <v>320</v>
      </c>
      <c r="D1" s="245"/>
      <c r="E1" s="245"/>
      <c r="F1" s="245"/>
      <c r="G1" s="245"/>
      <c r="H1" s="246"/>
    </row>
    <row r="2" spans="1:8" ht="13.8" x14ac:dyDescent="0.25">
      <c r="A2" s="32" t="s">
        <v>35</v>
      </c>
      <c r="B2" s="76">
        <f>AVERAGE(D4:G4)</f>
        <v>1</v>
      </c>
      <c r="C2" s="247"/>
      <c r="D2" s="248"/>
      <c r="E2" s="248"/>
      <c r="F2" s="248"/>
      <c r="G2" s="248"/>
      <c r="H2" s="249"/>
    </row>
    <row r="3" spans="1:8" ht="27.6" x14ac:dyDescent="0.25">
      <c r="A3" s="33" t="s">
        <v>25</v>
      </c>
      <c r="B3" s="33" t="s">
        <v>26</v>
      </c>
      <c r="C3" s="33" t="s">
        <v>19</v>
      </c>
      <c r="D3" s="33" t="s">
        <v>27</v>
      </c>
      <c r="E3" s="33" t="s">
        <v>36</v>
      </c>
      <c r="F3" s="33" t="s">
        <v>28</v>
      </c>
      <c r="G3" s="33" t="s">
        <v>12</v>
      </c>
      <c r="H3" s="33" t="s">
        <v>296</v>
      </c>
    </row>
    <row r="4" spans="1:8" ht="52.8" x14ac:dyDescent="0.25">
      <c r="A4" s="10" t="s">
        <v>364</v>
      </c>
      <c r="B4" s="9" t="s">
        <v>11</v>
      </c>
      <c r="C4" s="98" t="s">
        <v>341</v>
      </c>
      <c r="D4" s="101">
        <v>1</v>
      </c>
      <c r="E4" s="55"/>
      <c r="F4" s="55"/>
      <c r="G4" s="55"/>
      <c r="H4" s="70" t="s">
        <v>581</v>
      </c>
    </row>
  </sheetData>
  <mergeCells count="1">
    <mergeCell ref="C1:H2"/>
  </mergeCells>
  <hyperlinks>
    <hyperlink ref="B1" location="RESUMEN!A1" display="RESOLUCIÓN N°499/2006, MINISTERIO DE SALUD. APRUEBA DOCUMENTO ELECTRONICO DE DECLARACIÓN DE RESIDUOS PELIGROSOS" xr:uid="{00000000-0004-0000-35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I4"/>
  <sheetViews>
    <sheetView workbookViewId="0">
      <selection activeCell="B1" sqref="B1"/>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36.75" customHeight="1" x14ac:dyDescent="0.25">
      <c r="A1" s="32" t="s">
        <v>33</v>
      </c>
      <c r="B1" s="36" t="s">
        <v>522</v>
      </c>
      <c r="C1" s="239" t="s">
        <v>38</v>
      </c>
      <c r="D1" s="239"/>
      <c r="E1" s="239"/>
      <c r="F1" s="239"/>
      <c r="G1" s="239"/>
      <c r="H1" s="240"/>
    </row>
    <row r="2" spans="1:9" ht="15" customHeight="1" x14ac:dyDescent="0.25">
      <c r="A2" s="32" t="s">
        <v>35</v>
      </c>
      <c r="B2" s="31">
        <f>AVERAGE(D4:G4)</f>
        <v>1</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x14ac:dyDescent="0.25">
      <c r="A4" s="4" t="s">
        <v>267</v>
      </c>
      <c r="B4" s="5" t="s">
        <v>523</v>
      </c>
      <c r="C4" s="13" t="s">
        <v>341</v>
      </c>
      <c r="D4" s="30">
        <v>1</v>
      </c>
      <c r="E4" s="3"/>
      <c r="F4" s="3" t="s">
        <v>13</v>
      </c>
      <c r="G4" s="4"/>
      <c r="H4" s="13" t="s">
        <v>417</v>
      </c>
    </row>
  </sheetData>
  <mergeCells count="1">
    <mergeCell ref="C1:H2"/>
  </mergeCells>
  <hyperlinks>
    <hyperlink ref="B1" location="RESUMEN!A1" display="Constitución Política de la República" xr:uid="{00000000-0004-0000-36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4"/>
  <sheetViews>
    <sheetView workbookViewId="0">
      <selection activeCell="B1" sqref="B1"/>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43.2" customHeight="1" x14ac:dyDescent="0.25">
      <c r="A1" s="32" t="s">
        <v>33</v>
      </c>
      <c r="B1" s="36" t="s">
        <v>524</v>
      </c>
      <c r="C1" s="239" t="s">
        <v>38</v>
      </c>
      <c r="D1" s="239"/>
      <c r="E1" s="239"/>
      <c r="F1" s="239"/>
      <c r="G1" s="239"/>
      <c r="H1" s="240"/>
    </row>
    <row r="2" spans="1:9" ht="15" customHeight="1" x14ac:dyDescent="0.25">
      <c r="A2" s="32" t="s">
        <v>35</v>
      </c>
      <c r="B2" s="31">
        <f>AVERAGE(D4:G4)/100</f>
        <v>0.5</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ht="27.6" x14ac:dyDescent="0.25">
      <c r="A4" s="4" t="s">
        <v>267</v>
      </c>
      <c r="B4" s="5" t="s">
        <v>525</v>
      </c>
      <c r="C4" s="13" t="s">
        <v>361</v>
      </c>
      <c r="D4" s="30"/>
      <c r="E4" s="3">
        <v>50</v>
      </c>
      <c r="F4" s="3" t="s">
        <v>13</v>
      </c>
      <c r="G4" s="4"/>
      <c r="H4" s="13" t="s">
        <v>902</v>
      </c>
    </row>
  </sheetData>
  <mergeCells count="1">
    <mergeCell ref="C1:H2"/>
  </mergeCells>
  <hyperlinks>
    <hyperlink ref="B1" location="RESUMEN!A1" display="Constitución Política de la República" xr:uid="{00000000-0004-0000-37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4"/>
  <sheetViews>
    <sheetView workbookViewId="0">
      <selection activeCell="B10" sqref="B10"/>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43.2" customHeight="1" x14ac:dyDescent="0.25">
      <c r="A1" s="32" t="s">
        <v>33</v>
      </c>
      <c r="B1" s="36" t="s">
        <v>526</v>
      </c>
      <c r="C1" s="239" t="s">
        <v>38</v>
      </c>
      <c r="D1" s="239"/>
      <c r="E1" s="239"/>
      <c r="F1" s="239"/>
      <c r="G1" s="239"/>
      <c r="H1" s="240"/>
    </row>
    <row r="2" spans="1:9" ht="15" customHeight="1" x14ac:dyDescent="0.25">
      <c r="A2" s="32" t="s">
        <v>35</v>
      </c>
      <c r="B2" s="31">
        <f>AVERAGE(D4:G4)</f>
        <v>1</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ht="27.6" x14ac:dyDescent="0.25">
      <c r="A4" s="4" t="s">
        <v>267</v>
      </c>
      <c r="B4" s="5" t="s">
        <v>527</v>
      </c>
      <c r="C4" s="13" t="s">
        <v>361</v>
      </c>
      <c r="D4" s="30">
        <v>1</v>
      </c>
      <c r="E4" s="3"/>
      <c r="F4" s="3" t="s">
        <v>13</v>
      </c>
      <c r="G4" s="4"/>
      <c r="H4" s="13" t="s">
        <v>630</v>
      </c>
    </row>
  </sheetData>
  <mergeCells count="1">
    <mergeCell ref="C1:H2"/>
  </mergeCells>
  <hyperlinks>
    <hyperlink ref="B1" location="RESUMEN!A1" display="Constitución Política de la República" xr:uid="{00000000-0004-0000-38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I4"/>
  <sheetViews>
    <sheetView workbookViewId="0">
      <selection activeCell="B1" sqref="B1"/>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43.2" customHeight="1" x14ac:dyDescent="0.25">
      <c r="A1" s="32" t="s">
        <v>33</v>
      </c>
      <c r="B1" s="36" t="s">
        <v>528</v>
      </c>
      <c r="C1" s="239" t="s">
        <v>38</v>
      </c>
      <c r="D1" s="239"/>
      <c r="E1" s="239"/>
      <c r="F1" s="239"/>
      <c r="G1" s="239"/>
      <c r="H1" s="240"/>
    </row>
    <row r="2" spans="1:9" ht="15" customHeight="1" x14ac:dyDescent="0.25">
      <c r="A2" s="32" t="s">
        <v>35</v>
      </c>
      <c r="B2" s="31">
        <f>AVERAGE(D4:G4)</f>
        <v>1</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x14ac:dyDescent="0.25">
      <c r="A4" s="4" t="s">
        <v>267</v>
      </c>
      <c r="B4" s="5" t="s">
        <v>529</v>
      </c>
      <c r="C4" s="13" t="s">
        <v>341</v>
      </c>
      <c r="D4" s="30">
        <v>1</v>
      </c>
      <c r="E4" s="3"/>
      <c r="F4" s="3" t="s">
        <v>13</v>
      </c>
      <c r="G4" s="4"/>
      <c r="H4" s="13" t="s">
        <v>417</v>
      </c>
    </row>
  </sheetData>
  <mergeCells count="1">
    <mergeCell ref="C1:H2"/>
  </mergeCells>
  <hyperlinks>
    <hyperlink ref="B1" location="RESUMEN!A1" display="Constitución Política de la República" xr:uid="{00000000-0004-0000-39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I4"/>
  <sheetViews>
    <sheetView workbookViewId="0">
      <selection activeCell="B1" sqref="B1"/>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43.2" customHeight="1" x14ac:dyDescent="0.25">
      <c r="A1" s="32" t="s">
        <v>33</v>
      </c>
      <c r="B1" s="36" t="s">
        <v>542</v>
      </c>
      <c r="C1" s="239" t="s">
        <v>38</v>
      </c>
      <c r="D1" s="239"/>
      <c r="E1" s="239"/>
      <c r="F1" s="239"/>
      <c r="G1" s="239"/>
      <c r="H1" s="240"/>
    </row>
    <row r="2" spans="1:9" ht="15" customHeight="1" x14ac:dyDescent="0.25">
      <c r="A2" s="32" t="s">
        <v>35</v>
      </c>
      <c r="B2" s="31">
        <f>AVERAGE(D4:G4)</f>
        <v>1</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x14ac:dyDescent="0.25">
      <c r="A4" s="4" t="s">
        <v>267</v>
      </c>
      <c r="B4" s="5" t="s">
        <v>543</v>
      </c>
      <c r="C4" s="13" t="s">
        <v>341</v>
      </c>
      <c r="D4" s="30">
        <v>1</v>
      </c>
      <c r="E4" s="3"/>
      <c r="F4" s="3" t="s">
        <v>13</v>
      </c>
      <c r="G4" s="4"/>
      <c r="H4" s="13" t="s">
        <v>417</v>
      </c>
    </row>
  </sheetData>
  <mergeCells count="1">
    <mergeCell ref="C1:H2"/>
  </mergeCells>
  <hyperlinks>
    <hyperlink ref="B1" location="RESUMEN!A1" display="Constitución Política de la República" xr:uid="{00000000-0004-0000-3A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9"/>
  <sheetViews>
    <sheetView workbookViewId="0">
      <selection activeCell="B1" sqref="B1"/>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43.2" customHeight="1" x14ac:dyDescent="0.25">
      <c r="A1" s="32" t="s">
        <v>33</v>
      </c>
      <c r="B1" s="36" t="s">
        <v>530</v>
      </c>
      <c r="C1" s="239" t="s">
        <v>38</v>
      </c>
      <c r="D1" s="239"/>
      <c r="E1" s="239"/>
      <c r="F1" s="239"/>
      <c r="G1" s="239"/>
      <c r="H1" s="240"/>
    </row>
    <row r="2" spans="1:9" ht="15" customHeight="1" x14ac:dyDescent="0.25">
      <c r="A2" s="32" t="s">
        <v>35</v>
      </c>
      <c r="B2" s="31">
        <f>AVERAGE(D4:G9)</f>
        <v>1</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ht="110.4" x14ac:dyDescent="0.25">
      <c r="A4" s="4" t="s">
        <v>531</v>
      </c>
      <c r="B4" s="5" t="s">
        <v>878</v>
      </c>
      <c r="C4" s="13" t="s">
        <v>341</v>
      </c>
      <c r="D4" s="30">
        <v>1</v>
      </c>
      <c r="E4" s="30"/>
      <c r="F4" s="30" t="s">
        <v>13</v>
      </c>
      <c r="G4" s="30"/>
      <c r="H4" s="13" t="s">
        <v>417</v>
      </c>
    </row>
    <row r="5" spans="1:9" ht="409.6" customHeight="1" x14ac:dyDescent="0.25">
      <c r="A5" s="4" t="s">
        <v>260</v>
      </c>
      <c r="B5" s="19" t="s">
        <v>532</v>
      </c>
      <c r="C5" s="13" t="s">
        <v>341</v>
      </c>
      <c r="D5" s="30"/>
      <c r="E5" s="30"/>
      <c r="F5" s="30" t="s">
        <v>13</v>
      </c>
      <c r="G5" s="30">
        <v>1</v>
      </c>
      <c r="H5" s="13" t="s">
        <v>417</v>
      </c>
    </row>
    <row r="6" spans="1:9" ht="303.60000000000002" x14ac:dyDescent="0.25">
      <c r="A6" s="4" t="s">
        <v>534</v>
      </c>
      <c r="B6" s="19" t="s">
        <v>533</v>
      </c>
      <c r="C6" s="13" t="s">
        <v>341</v>
      </c>
      <c r="D6" s="30"/>
      <c r="E6" s="30"/>
      <c r="F6" s="30" t="s">
        <v>13</v>
      </c>
      <c r="G6" s="30">
        <v>1</v>
      </c>
      <c r="H6" s="13" t="s">
        <v>541</v>
      </c>
    </row>
    <row r="7" spans="1:9" ht="55.2" x14ac:dyDescent="0.25">
      <c r="A7" s="4" t="s">
        <v>536</v>
      </c>
      <c r="B7" s="19" t="s">
        <v>535</v>
      </c>
      <c r="C7" s="13" t="s">
        <v>341</v>
      </c>
      <c r="D7" s="30"/>
      <c r="E7" s="30"/>
      <c r="F7" s="30" t="s">
        <v>13</v>
      </c>
      <c r="G7" s="30">
        <v>1</v>
      </c>
      <c r="H7" s="13" t="s">
        <v>417</v>
      </c>
    </row>
    <row r="8" spans="1:9" ht="41.4" x14ac:dyDescent="0.25">
      <c r="A8" s="4" t="s">
        <v>538</v>
      </c>
      <c r="B8" s="19" t="s">
        <v>537</v>
      </c>
      <c r="C8" s="13" t="s">
        <v>341</v>
      </c>
      <c r="D8" s="30"/>
      <c r="E8" s="30"/>
      <c r="F8" s="30" t="s">
        <v>13</v>
      </c>
      <c r="G8" s="30">
        <v>1</v>
      </c>
      <c r="H8" s="13" t="s">
        <v>417</v>
      </c>
    </row>
    <row r="9" spans="1:9" ht="69" x14ac:dyDescent="0.25">
      <c r="A9" s="4" t="s">
        <v>540</v>
      </c>
      <c r="B9" s="19" t="s">
        <v>539</v>
      </c>
      <c r="C9" s="13" t="s">
        <v>341</v>
      </c>
      <c r="D9" s="30"/>
      <c r="E9" s="3"/>
      <c r="F9" s="3" t="s">
        <v>13</v>
      </c>
      <c r="G9" s="30">
        <v>1</v>
      </c>
      <c r="H9" s="13" t="s">
        <v>417</v>
      </c>
    </row>
  </sheetData>
  <mergeCells count="1">
    <mergeCell ref="C1:H2"/>
  </mergeCells>
  <hyperlinks>
    <hyperlink ref="B1" location="RESUMEN!A1" display="Constitución Política de la República" xr:uid="{00000000-0004-0000-3B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I7"/>
  <sheetViews>
    <sheetView workbookViewId="0">
      <selection activeCell="B1" sqref="B1"/>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43.2" customHeight="1" x14ac:dyDescent="0.25">
      <c r="A1" s="32" t="s">
        <v>33</v>
      </c>
      <c r="B1" s="36" t="s">
        <v>544</v>
      </c>
      <c r="C1" s="239" t="s">
        <v>38</v>
      </c>
      <c r="D1" s="239"/>
      <c r="E1" s="239"/>
      <c r="F1" s="239"/>
      <c r="G1" s="239"/>
      <c r="H1" s="240"/>
    </row>
    <row r="2" spans="1:9" ht="15" customHeight="1" x14ac:dyDescent="0.25">
      <c r="A2" s="32" t="s">
        <v>35</v>
      </c>
      <c r="B2" s="31">
        <f>AVERAGE(D4:G4)</f>
        <v>1</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ht="110.4" x14ac:dyDescent="0.25">
      <c r="A4" s="4" t="s">
        <v>245</v>
      </c>
      <c r="B4" s="5" t="s">
        <v>545</v>
      </c>
      <c r="C4" s="13" t="s">
        <v>341</v>
      </c>
      <c r="D4" s="30"/>
      <c r="E4" s="30"/>
      <c r="F4" s="30" t="s">
        <v>13</v>
      </c>
      <c r="G4" s="30">
        <v>1</v>
      </c>
      <c r="H4" s="13" t="s">
        <v>417</v>
      </c>
    </row>
    <row r="5" spans="1:9" ht="96.6" x14ac:dyDescent="0.25">
      <c r="A5" s="89" t="s">
        <v>645</v>
      </c>
      <c r="B5" s="5" t="s">
        <v>546</v>
      </c>
      <c r="C5" s="13" t="s">
        <v>341</v>
      </c>
      <c r="D5" s="30"/>
      <c r="E5" s="30"/>
      <c r="F5" s="30" t="s">
        <v>13</v>
      </c>
      <c r="G5" s="30">
        <v>1</v>
      </c>
      <c r="H5" s="13" t="s">
        <v>417</v>
      </c>
    </row>
    <row r="6" spans="1:9" ht="82.8" x14ac:dyDescent="0.25">
      <c r="A6" s="89" t="s">
        <v>646</v>
      </c>
      <c r="B6" s="5" t="s">
        <v>547</v>
      </c>
      <c r="C6" s="13" t="s">
        <v>341</v>
      </c>
      <c r="D6" s="30"/>
      <c r="E6" s="30"/>
      <c r="F6" s="30" t="s">
        <v>13</v>
      </c>
      <c r="G6" s="30">
        <v>1</v>
      </c>
      <c r="H6" s="13" t="s">
        <v>417</v>
      </c>
    </row>
    <row r="7" spans="1:9" ht="82.8" x14ac:dyDescent="0.25">
      <c r="A7" s="4" t="s">
        <v>880</v>
      </c>
      <c r="B7" s="5" t="s">
        <v>548</v>
      </c>
      <c r="C7" s="13" t="s">
        <v>341</v>
      </c>
      <c r="D7" s="30"/>
      <c r="E7" s="30"/>
      <c r="F7" s="30"/>
      <c r="G7" s="30">
        <v>1</v>
      </c>
      <c r="H7" s="13" t="s">
        <v>417</v>
      </c>
    </row>
  </sheetData>
  <mergeCells count="1">
    <mergeCell ref="C1:H2"/>
  </mergeCells>
  <hyperlinks>
    <hyperlink ref="B1" location="RESUMEN!A1" display="Constitución Política de la República" xr:uid="{00000000-0004-0000-3C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I5"/>
  <sheetViews>
    <sheetView workbookViewId="0">
      <selection activeCell="B1" sqref="B1"/>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43.2" customHeight="1" x14ac:dyDescent="0.25">
      <c r="A1" s="32" t="s">
        <v>33</v>
      </c>
      <c r="B1" s="36" t="s">
        <v>549</v>
      </c>
      <c r="C1" s="239" t="s">
        <v>38</v>
      </c>
      <c r="D1" s="239"/>
      <c r="E1" s="239"/>
      <c r="F1" s="239"/>
      <c r="G1" s="239"/>
      <c r="H1" s="240"/>
    </row>
    <row r="2" spans="1:9" ht="15" customHeight="1" x14ac:dyDescent="0.25">
      <c r="A2" s="32" t="s">
        <v>35</v>
      </c>
      <c r="B2" s="31">
        <f>AVERAGE(D4:G4)</f>
        <v>1</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ht="151.80000000000001" x14ac:dyDescent="0.25">
      <c r="A4" s="4" t="s">
        <v>550</v>
      </c>
      <c r="B4" s="5" t="s">
        <v>551</v>
      </c>
      <c r="C4" s="13" t="s">
        <v>341</v>
      </c>
      <c r="D4" s="30"/>
      <c r="E4" s="30"/>
      <c r="F4" s="30" t="s">
        <v>13</v>
      </c>
      <c r="G4" s="30">
        <v>1</v>
      </c>
      <c r="H4" s="13" t="s">
        <v>417</v>
      </c>
    </row>
    <row r="5" spans="1:9" ht="110.4" x14ac:dyDescent="0.25">
      <c r="A5" s="4" t="s">
        <v>552</v>
      </c>
      <c r="B5" s="5" t="s">
        <v>568</v>
      </c>
      <c r="C5" s="13" t="s">
        <v>341</v>
      </c>
      <c r="D5" s="30"/>
      <c r="E5" s="30"/>
      <c r="F5" s="30" t="s">
        <v>13</v>
      </c>
      <c r="G5" s="30">
        <v>1</v>
      </c>
      <c r="H5" s="13" t="s">
        <v>417</v>
      </c>
    </row>
  </sheetData>
  <mergeCells count="1">
    <mergeCell ref="C1:H2"/>
  </mergeCells>
  <hyperlinks>
    <hyperlink ref="B1" location="RESUMEN!A1" display="Constitución Política de la República" xr:uid="{00000000-0004-0000-3D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4"/>
  <sheetViews>
    <sheetView workbookViewId="0">
      <selection activeCell="B2" sqref="B2"/>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43.2" customHeight="1" x14ac:dyDescent="0.25">
      <c r="A1" s="32" t="s">
        <v>33</v>
      </c>
      <c r="B1" s="36" t="s">
        <v>553</v>
      </c>
      <c r="C1" s="239" t="s">
        <v>38</v>
      </c>
      <c r="D1" s="239"/>
      <c r="E1" s="239"/>
      <c r="F1" s="239"/>
      <c r="G1" s="239"/>
      <c r="H1" s="240"/>
    </row>
    <row r="2" spans="1:9" ht="15" customHeight="1" x14ac:dyDescent="0.25">
      <c r="A2" s="32" t="s">
        <v>35</v>
      </c>
      <c r="B2" s="31">
        <f>AVERAGE(D4:G4)</f>
        <v>1</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ht="27.6" x14ac:dyDescent="0.25">
      <c r="A4" s="4" t="s">
        <v>267</v>
      </c>
      <c r="B4" s="5" t="s">
        <v>554</v>
      </c>
      <c r="C4" s="13" t="s">
        <v>341</v>
      </c>
      <c r="D4" s="30">
        <v>1</v>
      </c>
      <c r="E4" s="3"/>
      <c r="F4" s="3" t="s">
        <v>13</v>
      </c>
      <c r="G4" s="4"/>
      <c r="H4" s="13" t="s">
        <v>417</v>
      </c>
    </row>
  </sheetData>
  <mergeCells count="1">
    <mergeCell ref="C1:H2"/>
  </mergeCells>
  <hyperlinks>
    <hyperlink ref="B1" location="RESUMEN!A1" display="Constitución Política de la República" xr:uid="{00000000-0004-0000-3E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I4"/>
  <sheetViews>
    <sheetView workbookViewId="0">
      <selection activeCell="B1" sqref="B1"/>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43.2" customHeight="1" x14ac:dyDescent="0.25">
      <c r="A1" s="32" t="s">
        <v>33</v>
      </c>
      <c r="B1" s="36" t="s">
        <v>555</v>
      </c>
      <c r="C1" s="239" t="s">
        <v>38</v>
      </c>
      <c r="D1" s="239"/>
      <c r="E1" s="239"/>
      <c r="F1" s="239"/>
      <c r="G1" s="239"/>
      <c r="H1" s="240"/>
    </row>
    <row r="2" spans="1:9" ht="15" customHeight="1" x14ac:dyDescent="0.25">
      <c r="A2" s="32" t="s">
        <v>35</v>
      </c>
      <c r="B2" s="31">
        <f>AVERAGE(D4:G4)</f>
        <v>1</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ht="27.6" x14ac:dyDescent="0.25">
      <c r="A4" s="4" t="s">
        <v>267</v>
      </c>
      <c r="B4" s="5" t="s">
        <v>556</v>
      </c>
      <c r="C4" s="13" t="s">
        <v>341</v>
      </c>
      <c r="D4" s="30"/>
      <c r="E4" s="3"/>
      <c r="F4" s="3" t="s">
        <v>13</v>
      </c>
      <c r="G4" s="30">
        <v>1</v>
      </c>
      <c r="H4" s="13" t="s">
        <v>417</v>
      </c>
    </row>
  </sheetData>
  <mergeCells count="1">
    <mergeCell ref="C1:H2"/>
  </mergeCells>
  <hyperlinks>
    <hyperlink ref="B1" location="RESUMEN!A1" display="Constitución Política de la República" xr:uid="{00000000-0004-0000-3F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31F38-4367-4C5E-BB4F-39DD6E89FC18}">
  <dimension ref="A1:I4"/>
  <sheetViews>
    <sheetView workbookViewId="0">
      <selection activeCell="B1" sqref="B1"/>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43.2" customHeight="1" x14ac:dyDescent="0.25">
      <c r="A1" s="32" t="s">
        <v>33</v>
      </c>
      <c r="B1" s="36" t="s">
        <v>603</v>
      </c>
      <c r="C1" s="239" t="s">
        <v>38</v>
      </c>
      <c r="D1" s="239"/>
      <c r="E1" s="239"/>
      <c r="F1" s="239"/>
      <c r="G1" s="239"/>
      <c r="H1" s="240"/>
    </row>
    <row r="2" spans="1:9" ht="15" customHeight="1" x14ac:dyDescent="0.25">
      <c r="A2" s="32" t="s">
        <v>35</v>
      </c>
      <c r="B2" s="31">
        <f>AVERAGE(D4:G4)</f>
        <v>1</v>
      </c>
      <c r="C2" s="241"/>
      <c r="D2" s="241"/>
      <c r="E2" s="241"/>
      <c r="F2" s="241"/>
      <c r="G2" s="241"/>
      <c r="H2" s="242"/>
    </row>
    <row r="3" spans="1:9" ht="30.75" customHeight="1" x14ac:dyDescent="0.25">
      <c r="A3" s="33" t="s">
        <v>25</v>
      </c>
      <c r="B3" s="33" t="s">
        <v>26</v>
      </c>
      <c r="C3" s="33" t="s">
        <v>19</v>
      </c>
      <c r="D3" s="33" t="s">
        <v>27</v>
      </c>
      <c r="E3" s="33" t="s">
        <v>36</v>
      </c>
      <c r="F3" s="33" t="s">
        <v>28</v>
      </c>
      <c r="G3" s="33" t="s">
        <v>12</v>
      </c>
      <c r="H3" s="33" t="s">
        <v>296</v>
      </c>
      <c r="I3" s="75"/>
    </row>
    <row r="4" spans="1:9" ht="41.4" x14ac:dyDescent="0.25">
      <c r="A4" s="4" t="s">
        <v>267</v>
      </c>
      <c r="B4" s="5" t="s">
        <v>604</v>
      </c>
      <c r="C4" s="13" t="s">
        <v>341</v>
      </c>
      <c r="D4" s="30">
        <v>1</v>
      </c>
      <c r="E4" s="3"/>
      <c r="F4" s="3" t="s">
        <v>13</v>
      </c>
      <c r="G4" s="30"/>
      <c r="H4" s="13" t="s">
        <v>629</v>
      </c>
    </row>
  </sheetData>
  <mergeCells count="1">
    <mergeCell ref="C1:H2"/>
  </mergeCells>
  <hyperlinks>
    <hyperlink ref="B1" location="RESUMEN!A1" display="Constitución Política de la República" xr:uid="{514B1DBA-A0B3-4ACF-ABDE-840A64B64B0F}"/>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E9D4F-25EF-4519-9707-8045173AA861}">
  <dimension ref="A1:I7"/>
  <sheetViews>
    <sheetView zoomScaleNormal="100" workbookViewId="0"/>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43.2" customHeight="1" x14ac:dyDescent="0.25">
      <c r="A1" s="32" t="s">
        <v>33</v>
      </c>
      <c r="B1" s="36" t="s">
        <v>654</v>
      </c>
      <c r="C1" s="239" t="s">
        <v>38</v>
      </c>
      <c r="D1" s="239"/>
      <c r="E1" s="239"/>
      <c r="F1" s="239"/>
      <c r="G1" s="239"/>
      <c r="H1" s="240"/>
    </row>
    <row r="2" spans="1:9" ht="15" customHeight="1" x14ac:dyDescent="0.25">
      <c r="A2" s="32" t="s">
        <v>35</v>
      </c>
      <c r="B2" s="31">
        <f>AVERAGE(D4:G4)</f>
        <v>0</v>
      </c>
      <c r="C2" s="140"/>
      <c r="D2" s="140"/>
      <c r="E2" s="140"/>
      <c r="F2" s="140"/>
      <c r="G2" s="140"/>
      <c r="H2" s="141"/>
    </row>
    <row r="3" spans="1:9" ht="30.75" customHeight="1" x14ac:dyDescent="0.25">
      <c r="A3" s="33" t="s">
        <v>25</v>
      </c>
      <c r="B3" s="33" t="s">
        <v>26</v>
      </c>
      <c r="C3" s="33" t="s">
        <v>19</v>
      </c>
      <c r="D3" s="33" t="s">
        <v>27</v>
      </c>
      <c r="E3" s="33" t="s">
        <v>36</v>
      </c>
      <c r="F3" s="33" t="s">
        <v>28</v>
      </c>
      <c r="G3" s="33" t="s">
        <v>12</v>
      </c>
      <c r="H3" s="33" t="s">
        <v>296</v>
      </c>
      <c r="I3" s="75"/>
    </row>
    <row r="4" spans="1:9" ht="27.6" x14ac:dyDescent="0.25">
      <c r="A4" s="4" t="s">
        <v>267</v>
      </c>
      <c r="B4" s="5" t="s">
        <v>654</v>
      </c>
      <c r="C4" s="13" t="s">
        <v>341</v>
      </c>
      <c r="D4" s="30"/>
      <c r="E4" s="3">
        <v>0</v>
      </c>
      <c r="F4" s="59"/>
      <c r="G4" s="30"/>
      <c r="H4" s="13" t="s">
        <v>655</v>
      </c>
    </row>
    <row r="5" spans="1:9" ht="55.2" x14ac:dyDescent="0.25">
      <c r="B5" s="201" t="s">
        <v>891</v>
      </c>
    </row>
    <row r="7" spans="1:9" x14ac:dyDescent="0.25">
      <c r="B7" s="1" t="s">
        <v>668</v>
      </c>
    </row>
  </sheetData>
  <mergeCells count="1">
    <mergeCell ref="C1:H1"/>
  </mergeCells>
  <hyperlinks>
    <hyperlink ref="B1" location="RESUMEN!A1" display="Constitución Política de la República" xr:uid="{0A836A4E-A886-49EB-ABFD-22EF62F20A2D}"/>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ADFFF-10C4-4902-B9AB-DB335690417F}">
  <dimension ref="A1:I4"/>
  <sheetViews>
    <sheetView workbookViewId="0">
      <selection activeCell="B1" sqref="B1"/>
    </sheetView>
  </sheetViews>
  <sheetFormatPr baseColWidth="10" defaultColWidth="11.44140625" defaultRowHeight="13.8" x14ac:dyDescent="0.25"/>
  <cols>
    <col min="1" max="1" width="16.5546875" style="1" customWidth="1"/>
    <col min="2" max="2" width="83.88671875" style="1" customWidth="1"/>
    <col min="3" max="3" width="20.6640625" style="1" customWidth="1"/>
    <col min="4" max="7" width="8.6640625" style="1" customWidth="1"/>
    <col min="8" max="8" width="34.5546875" style="1" customWidth="1"/>
    <col min="9" max="16384" width="11.44140625" style="1"/>
  </cols>
  <sheetData>
    <row r="1" spans="1:9" ht="43.2" customHeight="1" x14ac:dyDescent="0.25">
      <c r="A1" s="32" t="s">
        <v>33</v>
      </c>
      <c r="B1" s="36" t="s">
        <v>904</v>
      </c>
      <c r="C1" s="239" t="s">
        <v>38</v>
      </c>
      <c r="D1" s="239"/>
      <c r="E1" s="239"/>
      <c r="F1" s="239"/>
      <c r="G1" s="239"/>
      <c r="H1" s="240"/>
    </row>
    <row r="2" spans="1:9" ht="15" customHeight="1" x14ac:dyDescent="0.25">
      <c r="A2" s="32" t="s">
        <v>35</v>
      </c>
      <c r="B2" s="31">
        <f>AVERAGE(D4:G4)/100</f>
        <v>1</v>
      </c>
      <c r="C2" s="140"/>
      <c r="D2" s="140"/>
      <c r="E2" s="140"/>
      <c r="F2" s="140"/>
      <c r="G2" s="140"/>
      <c r="H2" s="141"/>
    </row>
    <row r="3" spans="1:9" ht="30.75" customHeight="1" x14ac:dyDescent="0.25">
      <c r="A3" s="33" t="s">
        <v>25</v>
      </c>
      <c r="B3" s="33" t="s">
        <v>26</v>
      </c>
      <c r="C3" s="33" t="s">
        <v>19</v>
      </c>
      <c r="D3" s="33" t="s">
        <v>27</v>
      </c>
      <c r="E3" s="33" t="s">
        <v>36</v>
      </c>
      <c r="F3" s="33" t="s">
        <v>28</v>
      </c>
      <c r="G3" s="33" t="s">
        <v>12</v>
      </c>
      <c r="H3" s="33" t="s">
        <v>296</v>
      </c>
      <c r="I3" s="75"/>
    </row>
    <row r="4" spans="1:9" ht="27.6" x14ac:dyDescent="0.25">
      <c r="A4" s="4" t="s">
        <v>267</v>
      </c>
      <c r="B4" s="5" t="s">
        <v>904</v>
      </c>
      <c r="C4" s="13" t="s">
        <v>341</v>
      </c>
      <c r="D4" s="144">
        <v>100</v>
      </c>
      <c r="E4" s="3"/>
      <c r="F4" s="59"/>
      <c r="G4" s="30"/>
      <c r="H4" s="13" t="s">
        <v>677</v>
      </c>
    </row>
  </sheetData>
  <mergeCells count="1">
    <mergeCell ref="C1:H1"/>
  </mergeCells>
  <hyperlinks>
    <hyperlink ref="B1" location="RESUMEN!A1" display="Constitución Política de la República" xr:uid="{E175E72D-969B-4115-99E7-ACE5F64CC9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74</vt:i4>
      </vt:variant>
    </vt:vector>
  </HeadingPairs>
  <TitlesOfParts>
    <vt:vector size="74" baseType="lpstr">
      <vt:lpstr>Control de Cambios</vt:lpstr>
      <vt:lpstr>RESUMEN</vt:lpstr>
      <vt:lpstr>Decreto 44</vt:lpstr>
      <vt:lpstr>Decreto 160</vt:lpstr>
      <vt:lpstr>Ley 21643</vt:lpstr>
      <vt:lpstr>Ley 21645</vt:lpstr>
      <vt:lpstr>Ley 21561</vt:lpstr>
      <vt:lpstr>RES EX 144</vt:lpstr>
      <vt:lpstr>ORD 1389 007 DT</vt:lpstr>
      <vt:lpstr>Ley 21217</vt:lpstr>
      <vt:lpstr>Ley 21220</vt:lpstr>
      <vt:lpstr>Ley 21122</vt:lpstr>
      <vt:lpstr>Ley 21018</vt:lpstr>
      <vt:lpstr>NCh2245</vt:lpstr>
      <vt:lpstr>DS 100</vt:lpstr>
      <vt:lpstr>Ley 16,744</vt:lpstr>
      <vt:lpstr>DS148</vt:lpstr>
      <vt:lpstr>DS 594</vt:lpstr>
      <vt:lpstr>DFL N°1 Ley Transito</vt:lpstr>
      <vt:lpstr>REx N° 1930</vt:lpstr>
      <vt:lpstr>D 44</vt:lpstr>
      <vt:lpstr>DS67</vt:lpstr>
      <vt:lpstr>DS 63</vt:lpstr>
      <vt:lpstr>Ley 20949</vt:lpstr>
      <vt:lpstr>NCH1411</vt:lpstr>
      <vt:lpstr>LEY 20005</vt:lpstr>
      <vt:lpstr>LEY 20096</vt:lpstr>
      <vt:lpstr>DS18</vt:lpstr>
      <vt:lpstr>DS254</vt:lpstr>
      <vt:lpstr>DS109</vt:lpstr>
      <vt:lpstr>LEY20105</vt:lpstr>
      <vt:lpstr>LEY20047</vt:lpstr>
      <vt:lpstr>DS43</vt:lpstr>
      <vt:lpstr>DS 458</vt:lpstr>
      <vt:lpstr>DS 47</vt:lpstr>
      <vt:lpstr>DFL1</vt:lpstr>
      <vt:lpstr>DFL 725 Codigo Sanitario</vt:lpstr>
      <vt:lpstr>Ley 18490</vt:lpstr>
      <vt:lpstr>DS 601</vt:lpstr>
      <vt:lpstr>Decreto 238</vt:lpstr>
      <vt:lpstr>Decreto 55</vt:lpstr>
      <vt:lpstr>Ley 20160</vt:lpstr>
      <vt:lpstr>Decreto 719</vt:lpstr>
      <vt:lpstr>Ley 20435</vt:lpstr>
      <vt:lpstr>RES EX 218</vt:lpstr>
      <vt:lpstr>RES EX 1448</vt:lpstr>
      <vt:lpstr>TMERT</vt:lpstr>
      <vt:lpstr>DS 1 RECT</vt:lpstr>
      <vt:lpstr>ORD MUN 46</vt:lpstr>
      <vt:lpstr>ORD MUN 56</vt:lpstr>
      <vt:lpstr>Plan Regulador</vt:lpstr>
      <vt:lpstr>DS 206</vt:lpstr>
      <vt:lpstr>Ley 20123</vt:lpstr>
      <vt:lpstr>DS 76</vt:lpstr>
      <vt:lpstr>RES EX 3457</vt:lpstr>
      <vt:lpstr>DS 144</vt:lpstr>
      <vt:lpstr>DS 103</vt:lpstr>
      <vt:lpstr>DS 149</vt:lpstr>
      <vt:lpstr>DS 54 MTT</vt:lpstr>
      <vt:lpstr>NCh 2056</vt:lpstr>
      <vt:lpstr>RES 499</vt:lpstr>
      <vt:lpstr>Ley 20584</vt:lpstr>
      <vt:lpstr>Ley 20393</vt:lpstr>
      <vt:lpstr>Ley 21012</vt:lpstr>
      <vt:lpstr>Ley 20830</vt:lpstr>
      <vt:lpstr>Ley 20348</vt:lpstr>
      <vt:lpstr>Ley 21015</vt:lpstr>
      <vt:lpstr>Ley 20422</vt:lpstr>
      <vt:lpstr>Ley 19284</vt:lpstr>
      <vt:lpstr>Ley 20764</vt:lpstr>
      <vt:lpstr>Ley 21042</vt:lpstr>
      <vt:lpstr>NT 142</vt:lpstr>
      <vt:lpstr>DS 18 2020</vt:lpstr>
      <vt:lpstr>RES EX 1854</vt:lpstr>
    </vt:vector>
  </TitlesOfParts>
  <Company>Me&amp;Ta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Sebastian Fernandez</cp:lastModifiedBy>
  <cp:lastPrinted>2024-06-11T20:37:55Z</cp:lastPrinted>
  <dcterms:created xsi:type="dcterms:W3CDTF">1996-11-27T10:00:04Z</dcterms:created>
  <dcterms:modified xsi:type="dcterms:W3CDTF">2026-06-01T22:26:28Z</dcterms:modified>
</cp:coreProperties>
</file>